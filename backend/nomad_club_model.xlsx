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Шари мапи" sheetId="1" r:id="rId5"/>
    <sheet state="visible" name="Фінмодель — BA Viamonte 1400" sheetId="2" r:id="rId6"/>
    <sheet state="visible" name="MVP Валідація" sheetId="3" r:id="rId7"/>
    <sheet state="visible" name="Діаграма 1 Розподіл бюджету за " sheetId="4" r:id="rId8"/>
  </sheets>
  <definedNames/>
  <calcPr/>
</workbook>
</file>

<file path=xl/sharedStrings.xml><?xml version="1.0" encoding="utf-8"?>
<sst xmlns="http://schemas.openxmlformats.org/spreadsheetml/2006/main" count="560" uniqueCount="377">
  <si>
    <t>NOMAD CLUB NETWORK — Шари інтерактивної карти + Відкриті джерела даних</t>
  </si>
  <si>
    <t>#</t>
  </si>
  <si>
    <t>Категорія шару</t>
  </si>
  <si>
    <t>Параметр / Показник</t>
  </si>
  <si>
    <t>Джерело даних</t>
  </si>
  <si>
    <t>API / URL</t>
  </si>
  <si>
    <t>Тип доступу</t>
  </si>
  <si>
    <t>Оновлення</t>
  </si>
  <si>
    <t>Пріоритет MVP</t>
  </si>
  <si>
    <t>🛡 БЕЗПЕКА</t>
  </si>
  <si>
    <t>Глобальний індекс миру</t>
  </si>
  <si>
    <t>Vision of Humanity / IEP</t>
  </si>
  <si>
    <t>visionofhumanity.org/gpi</t>
  </si>
  <si>
    <t>Free CSV</t>
  </si>
  <si>
    <t>Щорічно</t>
  </si>
  <si>
    <t>🔴 MUST</t>
  </si>
  <si>
    <t>Рівень злочинності (Crime Index)</t>
  </si>
  <si>
    <t>Numbeo</t>
  </si>
  <si>
    <t>numbeo.com/api</t>
  </si>
  <si>
    <t>Free/Paid API</t>
  </si>
  <si>
    <t>Квартально</t>
  </si>
  <si>
    <t>Корупція (CPI)</t>
  </si>
  <si>
    <t>Transparency International</t>
  </si>
  <si>
    <t>transparency.org / data.worldbank.org</t>
  </si>
  <si>
    <t>Free JSON/CSV</t>
  </si>
  <si>
    <t>Активні конфлікти / зони воєн</t>
  </si>
  <si>
    <t>ACLED / UCDP</t>
  </si>
  <si>
    <t>acleddata.com/api  |  ucdp.uu.se/api</t>
  </si>
  <si>
    <t>Free API</t>
  </si>
  <si>
    <t>Щотижня</t>
  </si>
  <si>
    <t>Попередження для мандрівників</t>
  </si>
  <si>
    <t>USA/UK/AU Governments</t>
  </si>
  <si>
    <t>travel.state.gov  |  smartraveller.gov.au</t>
  </si>
  <si>
    <t>RSS/JSON</t>
  </si>
  <si>
    <t>Реальний час</t>
  </si>
  <si>
    <t>🌍 КЛІМАТ</t>
  </si>
  <si>
    <t>Ризик стихійних лих</t>
  </si>
  <si>
    <t>UNDRR / EM-DAT</t>
  </si>
  <si>
    <t>emdat.be  |  data.undrr.org</t>
  </si>
  <si>
    <t>Free CSV/API</t>
  </si>
  <si>
    <t>Якість повітря (AQI)</t>
  </si>
  <si>
    <t>OpenAQ / IQAir</t>
  </si>
  <si>
    <t>api.openaq.org  |  api.airvisual.com</t>
  </si>
  <si>
    <t>🟡 HIGH</t>
  </si>
  <si>
    <t>Кліматичні зони та сезонність</t>
  </si>
  <si>
    <t>NASA POWER / Open-Meteo</t>
  </si>
  <si>
    <t>power.larc.nasa.gov/api  |  api.open-meteo.com</t>
  </si>
  <si>
    <t>Ризик цунамі / землетрусів</t>
  </si>
  <si>
    <t>USGS / NOAA</t>
  </si>
  <si>
    <t>earthquake.usgs.gov/fdsnws  |  tsunami.noaa.gov</t>
  </si>
  <si>
    <t>Free JSON</t>
  </si>
  <si>
    <t>Якість питної води</t>
  </si>
  <si>
    <t>WHO / EPI Yale</t>
  </si>
  <si>
    <t>epi.yale.edu  |  data.who.int</t>
  </si>
  <si>
    <t>🟢 NICE</t>
  </si>
  <si>
    <t>⚡ ІНФРАСТРУКТУРА</t>
  </si>
  <si>
    <t>Швидкість інтернету (Mbps)</t>
  </si>
  <si>
    <t>Speedtest / Ookla</t>
  </si>
  <si>
    <t>opendata.ookla.com</t>
  </si>
  <si>
    <t>Free шейп-файли</t>
  </si>
  <si>
    <t>Покриття 5G/4G</t>
  </si>
  <si>
    <t>OpenCelliD / GSMA</t>
  </si>
  <si>
    <t>opencellid.org  |  gsma.com/intelligence</t>
  </si>
  <si>
    <t>Щомісяця</t>
  </si>
  <si>
    <t>Відстань до аеропорту</t>
  </si>
  <si>
    <t>OpenFlights / OurAirports</t>
  </si>
  <si>
    <t>openflights.org/data  |  ourairports.com/data</t>
  </si>
  <si>
    <t>Громадський транспорт</t>
  </si>
  <si>
    <t>OpenStreetMap / Transitland</t>
  </si>
  <si>
    <t>overpass-api.de  |  transit.land/api/v2</t>
  </si>
  <si>
    <t>Постійно</t>
  </si>
  <si>
    <t>Стабільність електроенергії</t>
  </si>
  <si>
    <t>World Bank ESMAP</t>
  </si>
  <si>
    <t>esmap.org  |  data.worldbank.org/indicator</t>
  </si>
  <si>
    <t>Лікарні / медицина</t>
  </si>
  <si>
    <t>WHO / Healthsites.io</t>
  </si>
  <si>
    <t>healthsites.io/api  |  data.who.int</t>
  </si>
  <si>
    <t>💰 ВАРТІСТЬ ЖИТТЯ</t>
  </si>
  <si>
    <t>Загальний COL-індекс</t>
  </si>
  <si>
    <t>Numbeo / Expatistan</t>
  </si>
  <si>
    <t>numbeo.com/api  |  expatistan.com/api</t>
  </si>
  <si>
    <t>Free/Paid</t>
  </si>
  <si>
    <t>Ціни на оренду житла</t>
  </si>
  <si>
    <t>Numbeo / Property Guide</t>
  </si>
  <si>
    <t>numbeo.com/property-investment</t>
  </si>
  <si>
    <t>Мінімальна зарплата / BigMac Index</t>
  </si>
  <si>
    <t>ILO / The Economist</t>
  </si>
  <si>
    <t>ilostat.ilo.org/api  |  github.com/theeconomist/big-mac-data</t>
  </si>
  <si>
    <t>Купівельна спроможність (PPP)</t>
  </si>
  <si>
    <t>World Bank / IMF</t>
  </si>
  <si>
    <t>data.worldbank.org/indicator/NY.GDP.PCAP.PP.CD</t>
  </si>
  <si>
    <t>Податки для іноземців / NHR схеми</t>
  </si>
  <si>
    <t>KPMG / PWC</t>
  </si>
  <si>
    <t>home.kpmg/tax-rates  |  taxsummaries.pwc.com</t>
  </si>
  <si>
    <t>Free Web</t>
  </si>
  <si>
    <t>🤝 СОЦІУМ</t>
  </si>
  <si>
    <t>Індекс щастя (WHR)</t>
  </si>
  <si>
    <t>UN / Gallup</t>
  </si>
  <si>
    <t>worldhappiness.report (GitHub)  |  gallup.com</t>
  </si>
  <si>
    <t>ЛГБТQ+ безпека / законодавство</t>
  </si>
  <si>
    <t>ILGA World</t>
  </si>
  <si>
    <t>ilga.org/map</t>
  </si>
  <si>
    <t>Релігійна домінанта</t>
  </si>
  <si>
    <t>Pew Research / WVS</t>
  </si>
  <si>
    <t>worldvaluessurvey.org/WVSDocumentationWV7.jsp</t>
  </si>
  <si>
    <t>5 років</t>
  </si>
  <si>
    <t>Відношення до іноземців</t>
  </si>
  <si>
    <t>World Values Survey</t>
  </si>
  <si>
    <t>worldvaluessurvey.org/api</t>
  </si>
  <si>
    <t>Free</t>
  </si>
  <si>
    <t>Expat-ком'юніті / групи</t>
  </si>
  <si>
    <t>Meetup API / Internations</t>
  </si>
  <si>
    <t>api.meetup.com  |  internations.org</t>
  </si>
  <si>
    <t>Індекс соціального прогресу (SPI)</t>
  </si>
  <si>
    <t>Social Progress Imperative</t>
  </si>
  <si>
    <t>socialprogress.org/index/global/results</t>
  </si>
  <si>
    <t>💼 БІЗНЕС</t>
  </si>
  <si>
    <t>Nomad Visa статус</t>
  </si>
  <si>
    <t>NomadVisaGuide / Henley</t>
  </si>
  <si>
    <t>nomadvisa.guide  |  henleyglobal.com/passport-index</t>
  </si>
  <si>
    <t>Легкість ведення бізнесу</t>
  </si>
  <si>
    <t>World Bank Doing Business</t>
  </si>
  <si>
    <t>data.worldbank.org/indicator/IC.BUS.EASE.XQ</t>
  </si>
  <si>
    <t>Кількість коворкінгів</t>
  </si>
  <si>
    <t>Coworker / Deskpass</t>
  </si>
  <si>
    <t>coworker.com/api  |  proxy.deskpass.com</t>
  </si>
  <si>
    <t>Paid API</t>
  </si>
  <si>
    <t>Екосистема стартапів</t>
  </si>
  <si>
    <t>Crunchbase / Startup Blink</t>
  </si>
  <si>
    <t>data.crunchbase.com/api  |  startupblink.com</t>
  </si>
  <si>
    <t>Paid/Free</t>
  </si>
  <si>
    <t>🎭 ДОЗВІЛЛЯ</t>
  </si>
  <si>
    <t>Якість пляжів / температура моря</t>
  </si>
  <si>
    <t>UNESCO IHO / Blue Flag</t>
  </si>
  <si>
    <t>blueflag.global  |  seatemperature.org/api</t>
  </si>
  <si>
    <t>Free/Web</t>
  </si>
  <si>
    <t>Сезонно</t>
  </si>
  <si>
    <t>Об'єкти ЮНЕСКО</t>
  </si>
  <si>
    <t>UNESCO World Heritage</t>
  </si>
  <si>
    <t>whc.unesco.org/en/list</t>
  </si>
  <si>
    <t>Медичний туризм / якість клінік</t>
  </si>
  <si>
    <t>MTQUA / Bookimed</t>
  </si>
  <si>
    <t>mtqua.org  |  bookimed.com/api</t>
  </si>
  <si>
    <t>Серфінг / спорт активності</t>
  </si>
  <si>
    <t>Surfline / Trailforks</t>
  </si>
  <si>
    <t>services.surfline.com/kbyg  |  trailforks.com/api</t>
  </si>
  <si>
    <t>Ресторани / гастрономія</t>
  </si>
  <si>
    <t>Foursquare / TasteAtlas</t>
  </si>
  <si>
    <t>api.foursquare.com  |  tasteatlas.com</t>
  </si>
  <si>
    <t>Нічне життя</t>
  </si>
  <si>
    <t>Foursquare / Yelp API</t>
  </si>
  <si>
    <t>api.foursquare.com  |  api.yelp.com/v3</t>
  </si>
  <si>
    <t>🏠 НЕРУХОМІСТЬ</t>
  </si>
  <si>
    <t>Ціни покупки ($/м²)</t>
  </si>
  <si>
    <t>Numbeo / Global Property Guide</t>
  </si>
  <si>
    <t>numbeo.com/property-investment  |  globalpropertyguide.com</t>
  </si>
  <si>
    <t>Іноземна власність (законодавство)</t>
  </si>
  <si>
    <t>KPMG / World Bank</t>
  </si>
  <si>
    <t>home.kpmg  |  data.worldbank.org</t>
  </si>
  <si>
    <t>Прибутковість оренди (gross yield)</t>
  </si>
  <si>
    <t>Global Property Guide</t>
  </si>
  <si>
    <t>globalpropertyguide.com/gross-rental-yields</t>
  </si>
  <si>
    <t>🔮 УНІКАЛЬНІ</t>
  </si>
  <si>
    <t>Ризик підйому рівня моря 2050</t>
  </si>
  <si>
    <t>Climate Central / NOAA</t>
  </si>
  <si>
    <t>coastal.climatecentral.org/api</t>
  </si>
  <si>
    <t>Кількість кав'ярень (nomad proxy)</t>
  </si>
  <si>
    <t>Google Places / OSM</t>
  </si>
  <si>
    <t>maps.googleapis.com/maps/api/place</t>
  </si>
  <si>
    <t>Digital Nomad Visa офіційний</t>
  </si>
  <si>
    <t>NomadGirl / Nomad Capitalist</t>
  </si>
  <si>
    <t>nomadgirl.co/categories/digital-nomad-visa</t>
  </si>
  <si>
    <t>Індекс свободи преси</t>
  </si>
  <si>
    <t>RSF / Freedom House</t>
  </si>
  <si>
    <t>rsf.org/en/index  |  freedomhouse.org</t>
  </si>
  <si>
    <t>Кількість номадів зараз (real-time)</t>
  </si>
  <si>
    <t>NomadList live</t>
  </si>
  <si>
    <t>nomadlist.com/api/v1/user?type=nomads-now</t>
  </si>
  <si>
    <t>Paid</t>
  </si>
  <si>
    <t>Ризик малярії / хвороб</t>
  </si>
  <si>
    <t>CDC / WHO TravHealth</t>
  </si>
  <si>
    <t>wwwnc.cdc.gov/travel/api  |  who.int/ith</t>
  </si>
  <si>
    <t>Instagram-активність (#місто)</t>
  </si>
  <si>
    <t>Instagram Graph API</t>
  </si>
  <si>
    <t>graph.facebook.com/v19.0</t>
  </si>
  <si>
    <t>Indeks задоволеності жителів</t>
  </si>
  <si>
    <t>Gallup / Eurobarometer</t>
  </si>
  <si>
    <t>gallup.com/analytics | ec.europa.eu/eurostat/api</t>
  </si>
  <si>
    <t>Екологія</t>
  </si>
  <si>
    <t>Google Air Quality API</t>
  </si>
  <si>
    <t>[URL] (Air Quality API)</t>
  </si>
  <si>
    <t>Щогодини</t>
  </si>
  <si>
    <t>Технології</t>
  </si>
  <si>
    <t>Покриття Starlink</t>
  </si>
  <si>
    <t>Starlink GeoIP / H3 Cells</t>
  </si>
  <si>
    <t>[URL] (starlink.com/map)</t>
  </si>
  <si>
    <t>Робота</t>
  </si>
  <si>
    <t>Overlap часових поясів (EST/CET)</t>
  </si>
  <si>
    <t>Google Time Zone API</t>
  </si>
  <si>
    <t>[URL] (Time Zone API)</t>
  </si>
  <si>
    <t>Статично</t>
  </si>
  <si>
    <t>Право</t>
  </si>
  <si>
    <t>Digital Nomad Tax &amp; Visa ease</t>
  </si>
  <si>
    <t>GlobalNomad.Guide / Equaldex</t>
  </si>
  <si>
    <t>[URL] (Equaldex API)</t>
  </si>
  <si>
    <t>Щокварталу</t>
  </si>
  <si>
    <t>Соціум</t>
  </si>
  <si>
    <t>LGBTQ+ Safety Index</t>
  </si>
  <si>
    <t>Equaldex</t>
  </si>
  <si>
    <t>Community 'Vibe' (Social density)</t>
  </si>
  <si>
    <t>Meetup / Eventbrite APIs</t>
  </si>
  <si>
    <t>[URL] (Meetup API)</t>
  </si>
  <si>
    <t>gallup.com/analytics  |  ec.europa.eu/eurostat/api</t>
  </si>
  <si>
    <t>ЛЕГЕНДА: 🔴 MUST = обов'язково в MVP  |  🟡 HIGH = другий пріоритет  |  🟢 NICE = пізніше  |  РАЗОМ: 48 шарів</t>
  </si>
  <si>
    <r>
      <rPr>
        <rFont val="Roboto"/>
        <b/>
        <color rgb="FFFFFFFF"/>
        <sz val="17.0"/>
      </rPr>
      <t>ФІНАНСОВА МОДЕЛЬ</t>
    </r>
    <r>
      <rPr>
        <rFont val="Roboto"/>
        <color rgb="FFFFFFFF"/>
        <sz val="17.0"/>
      </rPr>
      <t xml:space="preserve"> </t>
    </r>
    <r>
      <rPr>
        <rFont val="Roboto"/>
        <color rgb="FFF3F3F3"/>
        <sz val="17.0"/>
      </rPr>
      <t>— Viamonte 1400, San Nicolás, Buenos Aires</t>
    </r>
  </si>
  <si>
    <t>🔵 Сині = параметри (змінюй)  |  ⚫ Чорні = формули  |  🟢 Зелені = результати  |  ⚠️ Жовті = ризики</t>
  </si>
  <si>
    <t>1. ПРИДБАННЯ ($)</t>
  </si>
  <si>
    <t>Ціна об'єкту ($)</t>
  </si>
  <si>
    <t>Площа об'єкту (м²)</t>
  </si>
  <si>
    <t>1,416 м² покритих</t>
  </si>
  <si>
    <t>Ціна $/м² (розрахунок)</t>
  </si>
  <si>
    <t>⬅ нижче ринку $1,500-2,500/м²</t>
  </si>
  <si>
    <t>Податки + нотаріус (%)</t>
  </si>
  <si>
    <t>Комісія агента (%)</t>
  </si>
  <si>
    <t>Legal / SPV структура ($)</t>
  </si>
  <si>
    <t>Іноземна власність AR</t>
  </si>
  <si>
    <t>TOTAL ПРИДБАННЯ</t>
  </si>
  <si>
    <t>2. РЕНОВАЦІЯ ($)</t>
  </si>
  <si>
    <t>Площа реновації (м²)</t>
  </si>
  <si>
    <t>Без 1-го поверху (кафе)</t>
  </si>
  <si>
    <t>Ціна реновації $/м²</t>
  </si>
  <si>
    <t>Оцінка партнера в BA</t>
  </si>
  <si>
    <t>Буфер несподіваний (%)</t>
  </si>
  <si>
    <t>81 рік будівлі!</t>
  </si>
  <si>
    <t>TOTAL РЕНОВАЦІЯ</t>
  </si>
  <si>
    <t>⚠️ Ризик +20-50% для 81-річної будівлі</t>
  </si>
  <si>
    <t>3. ЗАГАЛЬНИЙ ВХІД ($)</t>
  </si>
  <si>
    <t>💰 TOTAL IN (повна вартість)</t>
  </si>
  <si>
    <t>4. ДОХОДИ ($/рік)</t>
  </si>
  <si>
    <t>Кількість юнітів (номерів)</t>
  </si>
  <si>
    <t>Приблизна кількість</t>
  </si>
  <si>
    <t>Середня ставка за ніч ($)</t>
  </si>
  <si>
    <t>Boutique, Teatro Colón</t>
  </si>
  <si>
    <t>Заповнюваність (%)</t>
  </si>
  <si>
    <t>Реалістична 70%</t>
  </si>
  <si>
    <t>Днів у році</t>
  </si>
  <si>
    <t>Готельний дохід (рік)</t>
  </si>
  <si>
    <t>Оренда 1-го пов. комерційний ($/міс)</t>
  </si>
  <si>
    <t>Кафе/коворкінг</t>
  </si>
  <si>
    <t>Комерційний дохід (рік)</t>
  </si>
  <si>
    <t>TOTAL ДОХІД (рік)</t>
  </si>
  <si>
    <t>5. ОПЕРАЦІЙНІ ВИТРАТИ ($/рік)</t>
  </si>
  <si>
    <t>Локальний Персонал зарплати</t>
  </si>
  <si>
    <t>Прибирання, рецепція, управління</t>
  </si>
  <si>
    <t>Комунальні + обслуговування</t>
  </si>
  <si>
    <t>Страхування + юридична підтримка</t>
  </si>
  <si>
    <t>Маркетинг + OTA комісії (%)</t>
  </si>
  <si>
    <t>10% від доходу</t>
  </si>
  <si>
    <t>Management fee платформи (%)</t>
  </si>
  <si>
    <t>5% Nomad Club Network fee</t>
  </si>
  <si>
    <t>TOTAL ВИТРАТИ (рік)</t>
  </si>
  <si>
    <t>6. ПРИБУТКОВІСТЬ</t>
  </si>
  <si>
    <t>ДОХІД (NOI)</t>
  </si>
  <si>
    <t>ROI на вкладений капітал (%)</t>
  </si>
  <si>
    <t>Термін повернення (роки)</t>
  </si>
  <si>
    <t>7. КЛУБНА СТРУКТУРА СПІВВЛАСНИКІВ</t>
  </si>
  <si>
    <t>Варіанти для 24 слотів</t>
  </si>
  <si>
    <t>Кількість власників</t>
  </si>
  <si>
    <t>Частка в слоті та періоді використання</t>
  </si>
  <si>
    <t>Вклад в частку слоту($)</t>
  </si>
  <si>
    <t>Дохід/особу ($/рік)</t>
  </si>
  <si>
    <t>Період окупності</t>
  </si>
  <si>
    <t>Цінність 90 дн. ($/рік)</t>
  </si>
  <si>
    <t>Business income ($/рік)</t>
  </si>
  <si>
    <t>Live &amp; Business income</t>
  </si>
  <si>
    <t xml:space="preserve">A </t>
  </si>
  <si>
    <t>B</t>
  </si>
  <si>
    <t>C</t>
  </si>
  <si>
    <t>D</t>
  </si>
  <si>
    <t>⚠️ Зонування C2 (oficinas): Потрібен дозвіл GCBA для переводу в hospitality — 12-18 міс. УВАГА: Ризик «хибнопозитивних» результатів від користувачів до отримання юридичного підтвердження.</t>
  </si>
  <si>
    <t>⚠️  Реновація 81-річної будівлі: Ризик прихованих витрат +20-50% на комунікації</t>
  </si>
  <si>
    <t>⚠️  Аргентинська економіка: Операційні витрати в ARS — ризик інфляції</t>
  </si>
  <si>
    <t>✅  Позитив: $918/м² покупки vs ринок $1,500-2,500/м² — нижче ринку</t>
  </si>
  <si>
    <t>✅  Позитив: 2 квартали від Teatro Colón — преміальна туристична локація</t>
  </si>
  <si>
    <t>✅  Позитив: Живий верифікований партнер на місці в BA</t>
  </si>
  <si>
    <t>ПЛАН ВАЛІДАЦІЇ — ВІД ТЕСТУ ВІРУСНОСТІ ДО ПЕРШОГО ОБ'ЄКТУ</t>
  </si>
  <si>
    <t>Фаза</t>
  </si>
  <si>
    <t>Що робимо</t>
  </si>
  <si>
    <t>Метрика успіху</t>
  </si>
  <si>
    <t>Бюджет</t>
  </si>
  <si>
    <t>Статус</t>
  </si>
  <si>
    <t>ФАЗА 0 А
Тиждень 1
$0</t>
  </si>
  <si>
    <t xml:space="preserve">
Питання в 5 Telegram знакомих комьюнити, або nomad-групах: Чи уявляєте де може бути ваше ідельне місце для життя? Ідеальною була б земна куля, яка крутиться і на фоні якої зявлється питання на англ. французьскій, італьянскій, испанській, японській, корейскій, український, польскій, німецкій, індійскій, португальскій.
'Давай знайдемо його за параметраи на той мові на яку людина клікнула, за параметрами, останній рядок в позитивних та негативних параметрів - запропонуй чого нема?'
МАПА з туманом (туман над територіями - країнами - регіонами, не над піном локації) и параметрами, як позитивними так і негативними, мінімально необхідними слоями, включено 5-6 слоями що повинні бути, після обирання параметру туман розходиться обо сходиться над тими місцями у світі де обрані параметри  виконуються, наступний сходження/розходження туману це там де виконується і першій і другий і так до кінця параметрів. КНОПКи зберегти вибір - реєстрація / поділись з друзями - реєстрація / переивитися у кого є такий же ж вібір - реєстрація. Якщо нікого нема на мапі і у будь якому випадку сбоїв писати що це тестовая версія можливі збої ми повідомимо як тільки полагодимо, або як тільки люди зявляться - повідомити? так /ні  - Повідомлення про те що зявився новий шар мапи і додавати раз в два дні</t>
  </si>
  <si>
    <t>✅ 60%+ переслали мапу 'так' (Viral K-Factor &gt; 0.2)</t>
  </si>
  <si>
    <t>Design (15h*$40) + Dev (20h*$50) + PM/QA=$400</t>
  </si>
  <si>
    <t>ФАЗА 0B
Тиждень 2
$0</t>
  </si>
  <si>
    <t xml:space="preserve">Тест сторінок комьюніті з обєктами емульовані: - повідомлення зареєстрованим та нова хвиля з отривом в 24 години, після повідомлення по незнайомим - зявилася внутрішня сторінка комьюніті, зайди протестуй включаємо 7-13 емульованих сторінок з лістінгу преферентних.
Послати в 3-5 знакомих комьюнити, або профільні nomad чати. МАР все те ж саме, тільки є комьюніті в різних стадіях: без обєкту, ленд, реновація, будівницство інші місця що залишаються без туману (туман над територіями - країнами - регіонами, не над піном локації) - повідомлення що зявилася нове комьюніті, напрям, локація, </t>
  </si>
  <si>
    <t>❌ &lt;40% = змінюємо подачу</t>
  </si>
  <si>
    <t>Ads ($600) + Content (5h*$40)=$200</t>
  </si>
  <si>
    <t>⏳ через годину після реєстрації кожному. Друга волна через день після того як іссякне потік перших, якщо не іссякне то підключення іншіх чатів, груп в фб, інсте</t>
  </si>
  <si>
    <t>ФАЗА 0С
Тиждень 3
$0 - 500</t>
  </si>
  <si>
    <t>Test створення свого комьюніті - постав свій пін де бажаєш? якщо буде твоя ласка напиши чому саме тут? - наповни ідеологією - запроси іншіх до твого комьюніті - ідеальні сусіди на кочевому шлояху. - створи пін комьюніті - створи пін плейса конретного а навколо нього комьюніті власників - чи бажаєш знати якщо хтось ще зробить такий вибір / поділись своїм вибором з друзями - реєстрація.</t>
  </si>
  <si>
    <t>ЗАПИСАТИ - всі відповіді повинні складатися та фіксуватися у додатку</t>
  </si>
  <si>
    <t>Тест створення ком'юніті (Dev 10h*$50)</t>
  </si>
  <si>
    <t>ФАЗА 0D
Тиждень 4
$0</t>
  </si>
  <si>
    <t xml:space="preserve">ТЕСТ існуючого комьюніті з реальним обїектом - БА, яка серед іншіх емуляцій має пульсацію до прикладу. БА ЛОКАЦІЯ на внутрішній сторінці - можливо калькулювати свою частку, - можливо додавати кредит, - пропонувати свою ціну - скільки б ти був би готовий сплатити? в яких пропорціях це стає цікавим для тебе? </t>
  </si>
  <si>
    <t>✅ 50 пересилань ✅ 10+ LOI (LOI Conversion &gt; 5%)</t>
  </si>
  <si>
    <t>Тест БА (Dev 6h*$50)</t>
  </si>
  <si>
    <t>ФАЗА 1
Місяць 1-2
$500 - 1000</t>
  </si>
  <si>
    <t xml:space="preserve">
Typeform квест 10 питань → 'твій тип кочівника' - яке твоє комьюніті,
→ кнопка 'знайти схожих' - додати локацію, - створити комьюніті на напрямку
→ Telegram-група або чат бот відповідного типу що до сервісу та для конкретного місця 
- пін BA як першу точку та додати повідомлення всім хто зареєструвався про те: - які напрями обирають, - що вже можливо прям створювати свої комьюніті, - що на будь яких напрямах і виставляти обєкти, - про загальну чисельність тих хто зареєструвався, - про появу тих хто зробив такий же ж вибір, - повідомлення тим у кого багато співпадінь - зроби схожих "своїми", про те що можливо додавати людей до свого комюніті.</t>
  </si>
  <si>
    <t>❌ &lt;5 = переглядаємо цільову аудиторію та офер</t>
  </si>
  <si>
    <t>Typeform (5h*$40) + Ads ($800)</t>
  </si>
  <si>
    <t>📋 ПІСЛЯ ФАЗА 0</t>
  </si>
  <si>
    <t>ФАЗА 1B
Місяць 1-3
$200-500</t>
  </si>
  <si>
    <t>Due diligence BA Viamonte:
1. Кафе — орендар чи власник? сповіщення
2. Зонування C2 → hospitality? сповіщення про реальну кількість слотів 
3. Технічна документація? сповіщення про обсяги витрат на реновацію та період 
+ Аргентинський юрист ($200-300) сповіщення з юридичним висновком та порядком реєстрацій та проведення платежів. Якщо ніхто до того часу не сплатив ніякого донейшену який повинен бути як на центральній сторінці, так і на сторінці конкретного обєкту - предметно за кроками, якщо ніхто то повідомлення про дії та пропозицію накинути по 5 баксів на формалізацію та дослідження за для таких цілей на кріптобанку.</t>
  </si>
  <si>
    <t>✅ Юрист підтвердив структуру та 10+ донейтів на DD ($5)</t>
  </si>
  <si>
    <t>Legal Audit (8h*$150) + Translation/Notary=$300</t>
  </si>
  <si>
    <t>ФАЗА 2
Місяць 3-6
$3-8k</t>
  </si>
  <si>
    <t>Мапа стає повністю інтерактивною з реєстраціями, проставленими пінами бажань, піном БА виконань, а може ще щось хтось підкине точку. інтерактивна карта:
• всі шари підкоючені (безпека, COL, nomad visa, і т інше..)
• Всіф функціональні кнопки працюють що до створення комьюніті, пінів, нанесення обєктів, створення тематиччних напрямків - оптувальники, кожна дія підіймає рейтінг активності конкретного чоловіка
• об'єкт на карті — BA Viamonte та те що випливе</t>
  </si>
  <si>
    <t>✅ 1000+ унікальних відвідувань та 100+ реєстрацій</t>
  </si>
  <si>
    <t>API Integ (60h*$60) + Back (60h*$60) + Front (60h*$50) + DevOps=$1800</t>
  </si>
  <si>
    <t>ФАЗА 3
Місяць 5-12
$25-50k</t>
  </si>
  <si>
    <t>Підключення P2P та леджера блокчейну. Запуск Перший інвестиційний пул BA:
• 10-15 учасників з підтвердженим бюджетом
• SPV в Аргентині
• створення бюджету реновації
• Перший об'єкт Nomad Club Network - сповіщення про робочий апліфкейшн і сервіси - сповіщення про почаковий потік заінтересанів та ресурсів - про підключення банку - срахової кампанії, - опитування стосовно назви мережі готелів (urban&amp;jungle) - встановлення камер на обєкті</t>
  </si>
  <si>
    <t>✅ Total In = конкретне число</t>
  </si>
  <si>
    <t>Smart Contracts ($20k) + Bank/SPV ($15k) + Security Audit ($15k)</t>
  </si>
  <si>
    <t>000) + Bank/SPV ($15</t>
  </si>
  <si>
    <t>000) + Security Audit ($15</t>
  </si>
  <si>
    <t>000) | Разом: $50</t>
  </si>
  <si>
    <t>ФАЗА 4</t>
  </si>
  <si>
    <t>Масштабування:</t>
  </si>
  <si>
    <t>✅ 20+ активних користувачів (Stickiness &gt; 20%)</t>
  </si>
  <si>
    <t>Місяць 12-24</t>
  </si>
  <si>
    <t>• 20+ активних проектів</t>
  </si>
  <si>
    <t>$25-50k</t>
  </si>
  <si>
    <t>• Повноцінна робота DAO та банківських сервісів</t>
  </si>
  <si>
    <t>• Запуск мережі готелів (Urban &amp; Jungle)</t>
  </si>
  <si>
    <t>МЕТРИКИ УСПІХУ MVP (Кількісні)</t>
  </si>
  <si>
    <t>Метрика</t>
  </si>
  <si>
    <t>Опис / Формула</t>
  </si>
  <si>
    <t>Цільовий показник</t>
  </si>
  <si>
    <t>Viral K-Factor</t>
  </si>
  <si>
    <t>Кількість нових користувачів від одного активного</t>
  </si>
  <si>
    <t>&gt; 0.2</t>
  </si>
  <si>
    <t>LOI Conversion</t>
  </si>
  <si>
    <t>Конверсія у підписаний Letter of Intent (LOI)</t>
  </si>
  <si>
    <t>&gt; 5%</t>
  </si>
  <si>
    <t>CAC</t>
  </si>
  <si>
    <t>Вартість залучення одного ліда</t>
  </si>
  <si>
    <t>&lt; $50</t>
  </si>
  <si>
    <t>Stickiness</t>
  </si>
  <si>
    <t>Співвідношення DAU/MAU</t>
  </si>
  <si>
    <t>&gt; 20%</t>
  </si>
  <si>
    <t>Retention (D30)</t>
  </si>
  <si>
    <t>Відсоток повернення через місяць</t>
  </si>
  <si>
    <t>&gt; 15%</t>
  </si>
  <si>
    <t>МЕТРИКИ УСПІХУ MVP (Якісні)</t>
  </si>
  <si>
    <t>Метод вимірювання</t>
  </si>
  <si>
    <t>PMF Score</t>
  </si>
  <si>
    <t>Опитування: "Як би ви почувалися...?"</t>
  </si>
  <si>
    <t>&gt; 40% "Дуже засмучений"</t>
  </si>
  <si>
    <t>NPS</t>
  </si>
  <si>
    <t>Net Promoter Score</t>
  </si>
  <si>
    <t>&gt; 50</t>
  </si>
  <si>
    <t>Time to Value</t>
  </si>
  <si>
    <t>Час до першої корисної дії</t>
  </si>
  <si>
    <t>&lt; 5 хв</t>
  </si>
  <si>
    <t>Phase</t>
  </si>
  <si>
    <t>Budget</t>
  </si>
  <si>
    <t>Phase 0A</t>
  </si>
  <si>
    <t>Phase 0B</t>
  </si>
  <si>
    <t>Phase 0C</t>
  </si>
  <si>
    <t>Phase 0D</t>
  </si>
  <si>
    <t>Phase 1</t>
  </si>
  <si>
    <t>Phase 1B</t>
  </si>
  <si>
    <t>Phase 2</t>
  </si>
  <si>
    <t>Phase 3</t>
  </si>
  <si>
    <t>Phase 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</si>
</sst>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0.00"/>
    <numFmt numFmtId="166" formatCode="0.0%"/>
    <numFmt numFmtId="167" formatCode="d/m"/>
  </numFmts>
  <fonts count="35">
    <font>
      <sz val="11.0"/>
      <color theme="1"/>
      <name val="Calibri"/>
      <scheme val="minor"/>
    </font>
    <font>
      <b/>
      <sz val="14.0"/>
      <color rgb="FFFFFFFF"/>
      <name val="Arial"/>
    </font>
    <font/>
    <font>
      <b/>
      <sz val="11.0"/>
      <color rgb="FFFFFFFF"/>
      <name val="Arial"/>
    </font>
    <font>
      <sz val="10.0"/>
      <color rgb="FF000000"/>
      <name val="Arial"/>
    </font>
    <font>
      <sz val="10.0"/>
      <color rgb="FF1A56DB"/>
      <name val="Arial"/>
    </font>
    <font>
      <b/>
      <sz val="10.0"/>
      <color rgb="FF000000"/>
      <name val="Arial"/>
    </font>
    <font>
      <b/>
      <i/>
      <sz val="10.0"/>
      <color rgb="FF1A2E44"/>
      <name val="Arial"/>
    </font>
    <font>
      <sz val="17.0"/>
      <color rgb="FFFFFFFF"/>
      <name val="Roboto"/>
    </font>
    <font>
      <sz val="17.0"/>
      <color theme="1"/>
      <name val="Roboto"/>
    </font>
    <font>
      <sz val="10.0"/>
      <color rgb="FF434343"/>
      <name val="Roboto"/>
    </font>
    <font>
      <sz val="10.0"/>
      <color theme="1"/>
      <name val="Roboto"/>
    </font>
    <font>
      <b/>
      <sz val="12.0"/>
      <color rgb="FFFFFFFF"/>
      <name val="Roboto"/>
    </font>
    <font>
      <sz val="12.0"/>
      <color theme="1"/>
      <name val="Roboto"/>
    </font>
    <font>
      <sz val="12.0"/>
      <color rgb="FF1155CC"/>
      <name val="Roboto"/>
    </font>
    <font>
      <i/>
      <sz val="12.0"/>
      <color rgb="FF6B7280"/>
      <name val="Roboto"/>
    </font>
    <font>
      <sz val="12.0"/>
      <color rgb="FF000000"/>
      <name val="Roboto"/>
    </font>
    <font>
      <i/>
      <sz val="12.0"/>
      <color rgb="FF38761D"/>
      <name val="Roboto"/>
    </font>
    <font>
      <b/>
      <sz val="12.0"/>
      <color theme="1"/>
      <name val="Roboto"/>
    </font>
    <font>
      <b/>
      <sz val="12.0"/>
      <color rgb="FF38761D"/>
      <name val="Roboto"/>
    </font>
    <font>
      <i/>
      <sz val="12.0"/>
      <color rgb="FF000000"/>
      <name val="Roboto"/>
    </font>
    <font>
      <b/>
      <sz val="12.0"/>
      <color rgb="FF000000"/>
      <name val="Roboto"/>
    </font>
    <font>
      <b/>
      <sz val="11.0"/>
      <color rgb="FFF3F3F3"/>
      <name val="Roboto"/>
    </font>
    <font>
      <sz val="11.0"/>
      <color rgb="FFF3F3F3"/>
      <name val="Roboto"/>
    </font>
    <font>
      <sz val="12.0"/>
      <color rgb="FF38761D"/>
      <name val="Roboto"/>
    </font>
    <font>
      <b/>
      <sz val="13.0"/>
      <color rgb="FF38761D"/>
      <name val="Roboto"/>
    </font>
    <font>
      <sz val="13.0"/>
      <color rgb="FF38761D"/>
      <name val="Roboto"/>
    </font>
    <font>
      <sz val="12.0"/>
      <color rgb="FFCC4125"/>
      <name val="Roboto"/>
    </font>
    <font>
      <b/>
      <sz val="13.0"/>
      <color rgb="FFFFFFFF"/>
      <name val="Arial"/>
    </font>
    <font>
      <b/>
      <sz val="10.0"/>
      <color theme="1"/>
      <name val="Arial"/>
    </font>
    <font>
      <sz val="10.0"/>
      <color theme="1"/>
      <name val="Arial"/>
    </font>
    <font>
      <color theme="1"/>
      <name val="Calibri"/>
      <scheme val="minor"/>
    </font>
    <font>
      <sz val="11.0"/>
      <color theme="1"/>
      <name val="Roboto"/>
    </font>
    <font>
      <b/>
      <sz val="11.0"/>
      <color rgb="FFFFFFFF"/>
      <name val="Roboto"/>
    </font>
    <font>
      <b/>
      <sz val="11.0"/>
      <color theme="1"/>
      <name val="Roboto"/>
    </font>
  </fonts>
  <fills count="14">
    <fill>
      <patternFill patternType="none"/>
    </fill>
    <fill>
      <patternFill patternType="lightGray"/>
    </fill>
    <fill>
      <patternFill patternType="solid">
        <fgColor rgb="FF1A2E44"/>
        <bgColor rgb="FF1A2E44"/>
      </patternFill>
    </fill>
    <fill>
      <patternFill patternType="solid">
        <fgColor rgb="FF2E5F8A"/>
        <bgColor rgb="FF2E5F8A"/>
      </patternFill>
    </fill>
    <fill>
      <patternFill patternType="solid">
        <fgColor rgb="FFFFFFFF"/>
        <bgColor rgb="FFFFFFFF"/>
      </patternFill>
    </fill>
    <fill>
      <patternFill patternType="solid">
        <fgColor rgb="FFFEE2E2"/>
        <bgColor rgb="FFFEE2E2"/>
      </patternFill>
    </fill>
    <fill>
      <patternFill patternType="solid">
        <fgColor rgb="FFE8F0F7"/>
        <bgColor rgb="FFE8F0F7"/>
      </patternFill>
    </fill>
    <fill>
      <patternFill patternType="solid">
        <fgColor rgb="FFFEF9C3"/>
        <bgColor rgb="FFFEF9C3"/>
      </patternFill>
    </fill>
    <fill>
      <patternFill patternType="solid">
        <fgColor rgb="FFD1FAE5"/>
        <bgColor rgb="FFD1FAE5"/>
      </patternFill>
    </fill>
    <fill>
      <patternFill patternType="solid">
        <fgColor rgb="FFF1F5F9"/>
        <bgColor rgb="FFF1F5F9"/>
      </patternFill>
    </fill>
    <fill>
      <patternFill patternType="solid">
        <fgColor rgb="FFF3F3F3"/>
        <bgColor rgb="FFF3F3F3"/>
      </patternFill>
    </fill>
    <fill>
      <patternFill patternType="solid">
        <fgColor rgb="FFF0F4F8"/>
        <bgColor rgb="FFF0F4F8"/>
      </patternFill>
    </fill>
    <fill>
      <patternFill patternType="solid">
        <fgColor rgb="FFDBEAFE"/>
        <bgColor rgb="FFDBEAFE"/>
      </patternFill>
    </fill>
    <fill>
      <patternFill patternType="solid">
        <fgColor rgb="FFF3F4F6"/>
        <bgColor rgb="FFF3F4F6"/>
      </patternFill>
    </fill>
  </fills>
  <borders count="25">
    <border/>
    <border>
      <left/>
      <top/>
      <bottom/>
    </border>
    <border>
      <top/>
      <bottom/>
    </border>
    <border>
      <right/>
      <top/>
      <bottom/>
    </border>
    <border>
      <left style="thin">
        <color rgb="FFB0C4D8"/>
      </left>
      <right style="thin">
        <color rgb="FFB0C4D8"/>
      </right>
      <top style="thin">
        <color rgb="FFB0C4D8"/>
      </top>
      <bottom style="thin">
        <color rgb="FFB0C4D8"/>
      </bottom>
    </border>
    <border>
      <left style="medium">
        <color rgb="FF6D9EEB"/>
      </left>
    </border>
    <border>
      <left style="thin">
        <color rgb="FFB0C4D8"/>
      </left>
      <top style="thin">
        <color rgb="FFB0C4D8"/>
      </top>
      <bottom style="thin">
        <color rgb="FFB0C4D8"/>
      </bottom>
    </border>
    <border>
      <top style="thin">
        <color rgb="FFB0C4D8"/>
      </top>
      <bottom style="thin">
        <color rgb="FFB0C4D8"/>
      </bottom>
    </border>
    <border>
      <right style="thin">
        <color rgb="FFB0C4D8"/>
      </right>
      <top style="thin">
        <color rgb="FFB0C4D8"/>
      </top>
      <bottom style="thin">
        <color rgb="FFB0C4D8"/>
      </bottom>
    </border>
    <border>
      <left style="medium">
        <color rgb="FF6D9EEB"/>
      </left>
      <bottom style="medium">
        <color rgb="FF6D9EEB"/>
      </bottom>
    </border>
    <border>
      <bottom style="medium">
        <color rgb="FF6D9EEB"/>
      </bottom>
    </border>
    <border>
      <left style="thin">
        <color rgb="FFB0C4D8"/>
      </left>
      <right style="thin">
        <color rgb="FFB0C4D8"/>
      </right>
      <bottom style="thin">
        <color rgb="FFB0C4D8"/>
      </bottom>
    </border>
    <border>
      <left style="thin">
        <color rgb="FFB0C4D8"/>
      </left>
      <right style="thin">
        <color rgb="FFB0C4D8"/>
      </right>
      <top style="thin">
        <color rgb="FFB0C4D8"/>
      </top>
    </border>
    <border>
      <left style="medium">
        <color rgb="FF6D9EEB"/>
      </left>
      <right style="thin">
        <color rgb="FF6D9EEB"/>
      </right>
      <top style="medium">
        <color rgb="FF6D9EEB"/>
      </top>
      <bottom style="thin">
        <color rgb="FF6D9EEB"/>
      </bottom>
    </border>
    <border>
      <left style="thin">
        <color rgb="FF6D9EEB"/>
      </left>
      <right style="thin">
        <color rgb="FF6D9EEB"/>
      </right>
      <top style="medium">
        <color rgb="FF6D9EEB"/>
      </top>
      <bottom style="thin">
        <color rgb="FF6D9EEB"/>
      </bottom>
    </border>
    <border>
      <left style="thin">
        <color rgb="FF6D9EEB"/>
      </left>
      <right style="medium">
        <color rgb="FF6D9EEB"/>
      </right>
      <top style="medium">
        <color rgb="FF6D9EEB"/>
      </top>
      <bottom style="thin">
        <color rgb="FF6D9EEB"/>
      </bottom>
    </border>
    <border>
      <left style="medium">
        <color rgb="FF6D9EEB"/>
      </left>
      <right style="thin">
        <color rgb="FF6D9EEB"/>
      </right>
      <top style="thin">
        <color rgb="FF6D9EEB"/>
      </top>
      <bottom style="thin">
        <color rgb="FF6D9EEB"/>
      </bottom>
    </border>
    <border>
      <left style="thin">
        <color rgb="FF6D9EEB"/>
      </left>
      <right style="thin">
        <color rgb="FF6D9EEB"/>
      </right>
      <top style="thin">
        <color rgb="FF6D9EEB"/>
      </top>
      <bottom style="thin">
        <color rgb="FF6D9EEB"/>
      </bottom>
    </border>
    <border>
      <left style="thin">
        <color rgb="FF6D9EEB"/>
      </left>
      <right style="medium">
        <color rgb="FF6D9EEB"/>
      </right>
      <top style="thin">
        <color rgb="FF6D9EEB"/>
      </top>
      <bottom style="thin">
        <color rgb="FF6D9EEB"/>
      </bottom>
    </border>
    <border>
      <left style="medium">
        <color rgb="FF6D9EEB"/>
      </left>
      <right style="thin">
        <color rgb="FF6D9EEB"/>
      </right>
      <top style="thin">
        <color rgb="FF6D9EEB"/>
      </top>
      <bottom style="medium">
        <color rgb="FF6D9EEB"/>
      </bottom>
    </border>
    <border>
      <left style="thin">
        <color rgb="FF6D9EEB"/>
      </left>
      <right style="thin">
        <color rgb="FF6D9EEB"/>
      </right>
      <top style="thin">
        <color rgb="FF6D9EEB"/>
      </top>
      <bottom style="medium">
        <color rgb="FF6D9EEB"/>
      </bottom>
    </border>
    <border>
      <left style="thin">
        <color rgb="FF6D9EEB"/>
      </left>
      <right style="medium">
        <color rgb="FF6D9EEB"/>
      </right>
      <top style="thin">
        <color rgb="FF6D9EEB"/>
      </top>
      <bottom style="medium">
        <color rgb="FF6D9EEB"/>
      </bottom>
    </border>
    <border>
      <left style="thin">
        <color rgb="FFB0C4D8"/>
      </left>
      <bottom style="thin">
        <color rgb="FFB0C4D8"/>
      </bottom>
    </border>
    <border>
      <bottom style="thin">
        <color rgb="FFB0C4D8"/>
      </bottom>
    </border>
    <border>
      <right style="thin">
        <color rgb="FFB0C4D8"/>
      </right>
      <bottom style="thin">
        <color rgb="FFB0C4D8"/>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4" fontId="4" numFmtId="0" xfId="0" applyAlignment="1" applyBorder="1" applyFill="1" applyFont="1">
      <alignment horizontal="center" shrinkToFit="0" vertical="center" wrapText="1"/>
    </xf>
    <xf borderId="4" fillId="4" fontId="4" numFmtId="0" xfId="0" applyAlignment="1" applyBorder="1" applyFont="1">
      <alignment horizontal="left" shrinkToFit="0" vertical="center" wrapText="1"/>
    </xf>
    <xf borderId="4" fillId="4" fontId="5" numFmtId="0" xfId="0" applyAlignment="1" applyBorder="1" applyFont="1">
      <alignment horizontal="left" shrinkToFit="0" vertical="center" wrapText="1"/>
    </xf>
    <xf borderId="4" fillId="5" fontId="6" numFmtId="0" xfId="0" applyAlignment="1" applyBorder="1" applyFill="1" applyFont="1">
      <alignment horizontal="center" shrinkToFit="0" vertical="center" wrapText="1"/>
    </xf>
    <xf borderId="4" fillId="6" fontId="4" numFmtId="0" xfId="0" applyAlignment="1" applyBorder="1" applyFill="1" applyFont="1">
      <alignment horizontal="center" shrinkToFit="0" vertical="center" wrapText="1"/>
    </xf>
    <xf borderId="4" fillId="6" fontId="4" numFmtId="0" xfId="0" applyAlignment="1" applyBorder="1" applyFont="1">
      <alignment horizontal="left" shrinkToFit="0" vertical="center" wrapText="1"/>
    </xf>
    <xf borderId="4" fillId="6" fontId="5" numFmtId="0" xfId="0" applyAlignment="1" applyBorder="1" applyFont="1">
      <alignment horizontal="left" shrinkToFit="0" vertical="center" wrapText="1"/>
    </xf>
    <xf borderId="4" fillId="7" fontId="6" numFmtId="0" xfId="0" applyAlignment="1" applyBorder="1" applyFill="1" applyFont="1">
      <alignment horizontal="center" shrinkToFit="0" vertical="center" wrapText="1"/>
    </xf>
    <xf borderId="4" fillId="8" fontId="6" numFmtId="0" xfId="0" applyAlignment="1" applyBorder="1" applyFill="1" applyFont="1">
      <alignment horizontal="center" shrinkToFit="0" vertical="center" wrapText="1"/>
    </xf>
    <xf borderId="4" fillId="4" fontId="4" numFmtId="0" xfId="0" applyAlignment="1" applyBorder="1" applyFont="1">
      <alignment horizontal="center" readingOrder="0" shrinkToFit="0" vertical="center" wrapText="1"/>
    </xf>
    <xf borderId="4" fillId="4" fontId="4" numFmtId="0" xfId="0" applyAlignment="1" applyBorder="1" applyFont="1">
      <alignment horizontal="left" readingOrder="0" shrinkToFit="0" vertical="center" wrapText="1"/>
    </xf>
    <xf borderId="4" fillId="4" fontId="5" numFmtId="0" xfId="0" applyAlignment="1" applyBorder="1" applyFont="1">
      <alignment horizontal="left" readingOrder="0" shrinkToFit="0" vertical="center" wrapText="1"/>
    </xf>
    <xf borderId="4" fillId="8" fontId="6" numFmtId="0" xfId="0" applyAlignment="1" applyBorder="1" applyFont="1">
      <alignment horizontal="center" readingOrder="0" shrinkToFit="0" vertical="center" wrapText="1"/>
    </xf>
    <xf borderId="1" fillId="9" fontId="7" numFmtId="0" xfId="0" applyAlignment="1" applyBorder="1" applyFill="1" applyFont="1">
      <alignment horizontal="center" vertical="center"/>
    </xf>
    <xf borderId="0" fillId="2" fontId="8" numFmtId="0" xfId="0" applyAlignment="1" applyFont="1">
      <alignment readingOrder="0" vertical="center"/>
    </xf>
    <xf borderId="0" fillId="2" fontId="8" numFmtId="0" xfId="0" applyAlignment="1" applyFont="1">
      <alignment horizontal="right" readingOrder="0" vertical="center"/>
    </xf>
    <xf borderId="5" fillId="0" fontId="9" numFmtId="0" xfId="0" applyAlignment="1" applyBorder="1" applyFont="1">
      <alignment vertical="center"/>
    </xf>
    <xf borderId="0" fillId="0" fontId="9" numFmtId="0" xfId="0" applyAlignment="1" applyFont="1">
      <alignment vertical="center"/>
    </xf>
    <xf borderId="0" fillId="0" fontId="10" numFmtId="0" xfId="0" applyAlignment="1" applyFont="1">
      <alignment readingOrder="0" vertical="center"/>
    </xf>
    <xf borderId="0" fillId="0" fontId="10" numFmtId="0" xfId="0" applyAlignment="1" applyFont="1">
      <alignment horizontal="right" vertical="center"/>
    </xf>
    <xf borderId="0" fillId="0" fontId="10" numFmtId="0" xfId="0" applyAlignment="1" applyFont="1">
      <alignment vertical="center"/>
    </xf>
    <xf borderId="5" fillId="0" fontId="10" numFmtId="0" xfId="0" applyAlignment="1" applyBorder="1" applyFont="1">
      <alignment vertical="center"/>
    </xf>
    <xf borderId="0" fillId="10" fontId="11" numFmtId="0" xfId="0" applyAlignment="1" applyFill="1" applyFont="1">
      <alignment readingOrder="0" vertical="center"/>
    </xf>
    <xf borderId="5" fillId="0" fontId="11" numFmtId="0" xfId="0" applyAlignment="1" applyBorder="1" applyFont="1">
      <alignment vertical="center"/>
    </xf>
    <xf borderId="0" fillId="0" fontId="11" numFmtId="0" xfId="0" applyAlignment="1" applyFont="1">
      <alignment vertical="center"/>
    </xf>
    <xf borderId="6" fillId="3" fontId="12" numFmtId="0" xfId="0" applyAlignment="1" applyBorder="1" applyFont="1">
      <alignment readingOrder="0" shrinkToFit="0" vertical="center" wrapText="1"/>
    </xf>
    <xf borderId="7" fillId="0" fontId="2" numFmtId="0" xfId="0" applyBorder="1" applyFont="1"/>
    <xf borderId="8" fillId="0" fontId="2" numFmtId="0" xfId="0" applyBorder="1" applyFont="1"/>
    <xf borderId="5" fillId="0" fontId="12" numFmtId="0" xfId="0" applyAlignment="1" applyBorder="1" applyFont="1">
      <alignment vertical="center"/>
    </xf>
    <xf borderId="0" fillId="0" fontId="12" numFmtId="0" xfId="0" applyAlignment="1" applyFont="1">
      <alignment vertical="center"/>
    </xf>
    <xf borderId="0" fillId="0" fontId="12" numFmtId="0" xfId="0" applyAlignment="1" applyFont="1">
      <alignment vertical="center"/>
    </xf>
    <xf borderId="4" fillId="4" fontId="13" numFmtId="0" xfId="0" applyAlignment="1" applyBorder="1" applyFont="1">
      <alignment shrinkToFit="0" vertical="center" wrapText="1"/>
    </xf>
    <xf borderId="4" fillId="4" fontId="14" numFmtId="164" xfId="0" applyAlignment="1" applyBorder="1" applyFont="1" applyNumberFormat="1">
      <alignment horizontal="right" vertical="center"/>
    </xf>
    <xf borderId="6" fillId="4" fontId="15" numFmtId="0" xfId="0" applyAlignment="1" applyBorder="1" applyFont="1">
      <alignment vertical="center"/>
    </xf>
    <xf borderId="5" fillId="0" fontId="13" numFmtId="0" xfId="0" applyAlignment="1" applyBorder="1" applyFont="1">
      <alignment vertical="center"/>
    </xf>
    <xf borderId="0" fillId="0" fontId="13" numFmtId="0" xfId="0" applyAlignment="1" applyFont="1">
      <alignment vertical="center"/>
    </xf>
    <xf borderId="0" fillId="0" fontId="13" numFmtId="0" xfId="0" applyAlignment="1" applyFont="1">
      <alignment vertical="center"/>
    </xf>
    <xf borderId="4" fillId="11" fontId="13" numFmtId="0" xfId="0" applyAlignment="1" applyBorder="1" applyFill="1" applyFont="1">
      <alignment shrinkToFit="0" vertical="center" wrapText="1"/>
    </xf>
    <xf borderId="4" fillId="11" fontId="14" numFmtId="3" xfId="0" applyAlignment="1" applyBorder="1" applyFont="1" applyNumberFormat="1">
      <alignment horizontal="right" vertical="center"/>
    </xf>
    <xf borderId="6" fillId="11" fontId="15" numFmtId="0" xfId="0" applyAlignment="1" applyBorder="1" applyFont="1">
      <alignment vertical="center"/>
    </xf>
    <xf borderId="4" fillId="4" fontId="16" numFmtId="165" xfId="0" applyAlignment="1" applyBorder="1" applyFont="1" applyNumberFormat="1">
      <alignment horizontal="right" vertical="center"/>
    </xf>
    <xf borderId="6" fillId="4" fontId="17" numFmtId="0" xfId="0" applyAlignment="1" applyBorder="1" applyFont="1">
      <alignment vertical="center"/>
    </xf>
    <xf borderId="4" fillId="11" fontId="14" numFmtId="166" xfId="0" applyAlignment="1" applyBorder="1" applyFont="1" applyNumberFormat="1">
      <alignment horizontal="right" vertical="center"/>
    </xf>
    <xf borderId="6" fillId="11" fontId="13" numFmtId="0" xfId="0" applyAlignment="1" applyBorder="1" applyFont="1">
      <alignment vertical="center"/>
    </xf>
    <xf borderId="4" fillId="4" fontId="14" numFmtId="166" xfId="0" applyAlignment="1" applyBorder="1" applyFont="1" applyNumberFormat="1">
      <alignment horizontal="right" vertical="center"/>
    </xf>
    <xf borderId="6" fillId="0" fontId="13" numFmtId="0" xfId="0" applyAlignment="1" applyBorder="1" applyFont="1">
      <alignment vertical="center"/>
    </xf>
    <xf borderId="4" fillId="11" fontId="14" numFmtId="164" xfId="0" applyAlignment="1" applyBorder="1" applyFont="1" applyNumberFormat="1">
      <alignment horizontal="right" vertical="center"/>
    </xf>
    <xf borderId="4" fillId="4" fontId="18" numFmtId="0" xfId="0" applyAlignment="1" applyBorder="1" applyFont="1">
      <alignment shrinkToFit="0" vertical="center" wrapText="1"/>
    </xf>
    <xf borderId="4" fillId="4" fontId="19" numFmtId="164" xfId="0" applyAlignment="1" applyBorder="1" applyFont="1" applyNumberFormat="1">
      <alignment horizontal="right" vertical="center"/>
    </xf>
    <xf borderId="4" fillId="4" fontId="14" numFmtId="3" xfId="0" applyAlignment="1" applyBorder="1" applyFont="1" applyNumberFormat="1">
      <alignment horizontal="right" vertical="center"/>
    </xf>
    <xf borderId="4" fillId="11" fontId="18" numFmtId="0" xfId="0" applyAlignment="1" applyBorder="1" applyFont="1">
      <alignment shrinkToFit="0" vertical="center" wrapText="1"/>
    </xf>
    <xf borderId="4" fillId="11" fontId="19" numFmtId="164" xfId="0" applyAlignment="1" applyBorder="1" applyFont="1" applyNumberFormat="1">
      <alignment horizontal="right" vertical="center"/>
    </xf>
    <xf borderId="6" fillId="11" fontId="20" numFmtId="0" xfId="0" applyAlignment="1" applyBorder="1" applyFont="1">
      <alignment vertical="center"/>
    </xf>
    <xf borderId="4" fillId="11" fontId="21" numFmtId="0" xfId="0" applyAlignment="1" applyBorder="1" applyFont="1">
      <alignment readingOrder="0" shrinkToFit="0" vertical="center" wrapText="1"/>
    </xf>
    <xf borderId="4" fillId="11" fontId="14" numFmtId="164" xfId="0" applyAlignment="1" applyBorder="1" applyFont="1" applyNumberFormat="1">
      <alignment horizontal="right" readingOrder="0" vertical="center"/>
    </xf>
    <xf borderId="4" fillId="4" fontId="16" numFmtId="164" xfId="0" applyAlignment="1" applyBorder="1" applyFont="1" applyNumberFormat="1">
      <alignment horizontal="right" vertical="center"/>
    </xf>
    <xf borderId="4" fillId="11" fontId="13" numFmtId="0" xfId="0" applyAlignment="1" applyBorder="1" applyFont="1">
      <alignment readingOrder="0" shrinkToFit="0" vertical="center" wrapText="1"/>
    </xf>
    <xf borderId="6" fillId="3" fontId="12" numFmtId="0" xfId="0" applyAlignment="1" applyBorder="1" applyFont="1">
      <alignment readingOrder="0" vertical="center"/>
    </xf>
    <xf borderId="4" fillId="11" fontId="18" numFmtId="0" xfId="0" applyAlignment="1" applyBorder="1" applyFont="1">
      <alignment readingOrder="0" vertical="center"/>
    </xf>
    <xf borderId="4" fillId="11" fontId="19" numFmtId="164" xfId="0" applyAlignment="1" applyBorder="1" applyFont="1" applyNumberFormat="1">
      <alignment horizontal="right" shrinkToFit="0" vertical="center" wrapText="1"/>
    </xf>
    <xf borderId="4" fillId="4" fontId="19" numFmtId="166" xfId="0" applyAlignment="1" applyBorder="1" applyFont="1" applyNumberFormat="1">
      <alignment horizontal="right" vertical="center"/>
    </xf>
    <xf borderId="9" fillId="0" fontId="13" numFmtId="0" xfId="0" applyAlignment="1" applyBorder="1" applyFont="1">
      <alignment vertical="center"/>
    </xf>
    <xf borderId="10" fillId="0" fontId="13" numFmtId="0" xfId="0" applyAlignment="1" applyBorder="1" applyFont="1">
      <alignment vertical="center"/>
    </xf>
    <xf borderId="10" fillId="0" fontId="13" numFmtId="0" xfId="0" applyAlignment="1" applyBorder="1" applyFont="1">
      <alignment vertical="center"/>
    </xf>
    <xf borderId="6" fillId="0" fontId="18" numFmtId="0" xfId="0" applyAlignment="1" applyBorder="1" applyFont="1">
      <alignment shrinkToFit="0" vertical="center" wrapText="1"/>
    </xf>
    <xf borderId="6" fillId="3" fontId="12" numFmtId="0" xfId="0" applyAlignment="1" applyBorder="1" applyFont="1">
      <alignment horizontal="left" vertical="center"/>
    </xf>
    <xf borderId="11" fillId="3" fontId="12" numFmtId="0" xfId="0" applyAlignment="1" applyBorder="1" applyFont="1">
      <alignment horizontal="center" shrinkToFit="0" vertical="center" wrapText="1"/>
    </xf>
    <xf borderId="12" fillId="3" fontId="22" numFmtId="0" xfId="0" applyAlignment="1" applyBorder="1" applyFont="1">
      <alignment horizontal="center" readingOrder="0" shrinkToFit="0" vertical="center" wrapText="1"/>
    </xf>
    <xf borderId="12" fillId="3" fontId="22" numFmtId="0" xfId="0" applyAlignment="1" applyBorder="1" applyFont="1">
      <alignment horizontal="right" readingOrder="0" shrinkToFit="0" vertical="center" wrapText="1"/>
    </xf>
    <xf borderId="12" fillId="3" fontId="22" numFmtId="0" xfId="0" applyAlignment="1" applyBorder="1" applyFont="1">
      <alignment horizontal="center" shrinkToFit="0" vertical="center" wrapText="1"/>
    </xf>
    <xf borderId="0" fillId="0" fontId="23" numFmtId="0" xfId="0" applyAlignment="1" applyFont="1">
      <alignment vertical="center"/>
    </xf>
    <xf borderId="13" fillId="11" fontId="21" numFmtId="0" xfId="0" applyAlignment="1" applyBorder="1" applyFont="1">
      <alignment horizontal="center" readingOrder="0" shrinkToFit="0" vertical="center" wrapText="1"/>
    </xf>
    <xf borderId="14" fillId="11" fontId="14" numFmtId="0" xfId="0" applyAlignment="1" applyBorder="1" applyFont="1">
      <alignment horizontal="right" readingOrder="0" shrinkToFit="0" vertical="center" wrapText="1"/>
    </xf>
    <xf borderId="14" fillId="11" fontId="16" numFmtId="0" xfId="0" applyAlignment="1" applyBorder="1" applyFont="1">
      <alignment horizontal="center" readingOrder="0" shrinkToFit="0" vertical="center" wrapText="1"/>
    </xf>
    <xf borderId="14" fillId="11" fontId="16" numFmtId="164" xfId="0" applyAlignment="1" applyBorder="1" applyFont="1" applyNumberFormat="1">
      <alignment horizontal="center" shrinkToFit="0" vertical="center" wrapText="1"/>
    </xf>
    <xf borderId="14" fillId="11" fontId="24" numFmtId="2" xfId="0" applyAlignment="1" applyBorder="1" applyFont="1" applyNumberFormat="1">
      <alignment horizontal="center" readingOrder="0" shrinkToFit="0" vertical="center" wrapText="1"/>
    </xf>
    <xf borderId="14" fillId="11" fontId="25" numFmtId="164" xfId="0" applyAlignment="1" applyBorder="1" applyFont="1" applyNumberFormat="1">
      <alignment horizontal="center" shrinkToFit="0" vertical="center" wrapText="1"/>
    </xf>
    <xf borderId="15" fillId="11" fontId="26" numFmtId="164" xfId="0" applyAlignment="1" applyBorder="1" applyFont="1" applyNumberFormat="1">
      <alignment horizontal="center" shrinkToFit="0" vertical="center" wrapText="1"/>
    </xf>
    <xf borderId="16" fillId="4" fontId="21" numFmtId="0" xfId="0" applyAlignment="1" applyBorder="1" applyFont="1">
      <alignment horizontal="center" readingOrder="0" shrinkToFit="0" vertical="center" wrapText="1"/>
    </xf>
    <xf borderId="17" fillId="4" fontId="14" numFmtId="0" xfId="0" applyAlignment="1" applyBorder="1" applyFont="1">
      <alignment horizontal="right" readingOrder="0" shrinkToFit="0" vertical="center" wrapText="1"/>
    </xf>
    <xf borderId="17" fillId="4" fontId="16" numFmtId="167" xfId="0" applyAlignment="1" applyBorder="1" applyFont="1" applyNumberFormat="1">
      <alignment horizontal="center" readingOrder="0" shrinkToFit="0" vertical="center" wrapText="1"/>
    </xf>
    <xf borderId="17" fillId="4" fontId="16" numFmtId="164" xfId="0" applyAlignment="1" applyBorder="1" applyFont="1" applyNumberFormat="1">
      <alignment horizontal="center" shrinkToFit="0" vertical="center" wrapText="1"/>
    </xf>
    <xf borderId="17" fillId="4" fontId="24" numFmtId="2" xfId="0" applyAlignment="1" applyBorder="1" applyFont="1" applyNumberFormat="1">
      <alignment horizontal="center" readingOrder="0" shrinkToFit="0" vertical="center" wrapText="1"/>
    </xf>
    <xf borderId="17" fillId="4" fontId="25" numFmtId="164" xfId="0" applyAlignment="1" applyBorder="1" applyFont="1" applyNumberFormat="1">
      <alignment horizontal="center" shrinkToFit="0" vertical="center" wrapText="1"/>
    </xf>
    <xf borderId="18" fillId="4" fontId="26" numFmtId="164" xfId="0" applyAlignment="1" applyBorder="1" applyFont="1" applyNumberFormat="1">
      <alignment horizontal="center" shrinkToFit="0" vertical="center" wrapText="1"/>
    </xf>
    <xf borderId="16" fillId="11" fontId="21" numFmtId="0" xfId="0" applyAlignment="1" applyBorder="1" applyFont="1">
      <alignment horizontal="center" readingOrder="0" shrinkToFit="0" vertical="center" wrapText="1"/>
    </xf>
    <xf borderId="17" fillId="11" fontId="14" numFmtId="0" xfId="0" applyAlignment="1" applyBorder="1" applyFont="1">
      <alignment horizontal="right" readingOrder="0" shrinkToFit="0" vertical="center" wrapText="1"/>
    </xf>
    <xf borderId="17" fillId="11" fontId="16" numFmtId="167" xfId="0" applyAlignment="1" applyBorder="1" applyFont="1" applyNumberFormat="1">
      <alignment horizontal="center" readingOrder="0" shrinkToFit="0" vertical="center" wrapText="1"/>
    </xf>
    <xf borderId="17" fillId="11" fontId="16" numFmtId="164" xfId="0" applyAlignment="1" applyBorder="1" applyFont="1" applyNumberFormat="1">
      <alignment horizontal="center" shrinkToFit="0" vertical="center" wrapText="1"/>
    </xf>
    <xf borderId="17" fillId="11" fontId="24" numFmtId="2" xfId="0" applyAlignment="1" applyBorder="1" applyFont="1" applyNumberFormat="1">
      <alignment horizontal="center" readingOrder="0" shrinkToFit="0" vertical="center" wrapText="1"/>
    </xf>
    <xf borderId="17" fillId="11" fontId="25" numFmtId="164" xfId="0" applyAlignment="1" applyBorder="1" applyFont="1" applyNumberFormat="1">
      <alignment horizontal="center" shrinkToFit="0" vertical="center" wrapText="1"/>
    </xf>
    <xf borderId="18" fillId="11" fontId="26" numFmtId="164" xfId="0" applyAlignment="1" applyBorder="1" applyFont="1" applyNumberFormat="1">
      <alignment horizontal="center" shrinkToFit="0" vertical="center" wrapText="1"/>
    </xf>
    <xf borderId="19" fillId="4" fontId="21" numFmtId="0" xfId="0" applyAlignment="1" applyBorder="1" applyFont="1">
      <alignment horizontal="center" readingOrder="0" shrinkToFit="0" vertical="center" wrapText="1"/>
    </xf>
    <xf borderId="20" fillId="4" fontId="14" numFmtId="0" xfId="0" applyAlignment="1" applyBorder="1" applyFont="1">
      <alignment horizontal="right" readingOrder="0" shrinkToFit="0" vertical="center" wrapText="1"/>
    </xf>
    <xf borderId="20" fillId="4" fontId="16" numFmtId="167" xfId="0" applyAlignment="1" applyBorder="1" applyFont="1" applyNumberFormat="1">
      <alignment horizontal="center" readingOrder="0" shrinkToFit="0" vertical="center" wrapText="1"/>
    </xf>
    <xf borderId="20" fillId="4" fontId="16" numFmtId="164" xfId="0" applyAlignment="1" applyBorder="1" applyFont="1" applyNumberFormat="1">
      <alignment horizontal="center" shrinkToFit="0" vertical="center" wrapText="1"/>
    </xf>
    <xf borderId="20" fillId="4" fontId="24" numFmtId="2" xfId="0" applyAlignment="1" applyBorder="1" applyFont="1" applyNumberFormat="1">
      <alignment horizontal="center" readingOrder="0" shrinkToFit="0" vertical="center" wrapText="1"/>
    </xf>
    <xf borderId="20" fillId="4" fontId="25" numFmtId="164" xfId="0" applyAlignment="1" applyBorder="1" applyFont="1" applyNumberFormat="1">
      <alignment horizontal="center" shrinkToFit="0" vertical="center" wrapText="1"/>
    </xf>
    <xf borderId="21" fillId="4" fontId="26" numFmtId="164" xfId="0" applyAlignment="1" applyBorder="1" applyFont="1" applyNumberFormat="1">
      <alignment horizontal="center" shrinkToFit="0" vertical="center" wrapText="1"/>
    </xf>
    <xf borderId="22" fillId="4" fontId="16" numFmtId="0" xfId="0" applyAlignment="1" applyBorder="1" applyFont="1">
      <alignment horizontal="left" readingOrder="0" vertical="center"/>
    </xf>
    <xf borderId="23" fillId="0" fontId="2" numFmtId="0" xfId="0" applyBorder="1" applyFont="1"/>
    <xf borderId="24" fillId="0" fontId="2" numFmtId="0" xfId="0" applyBorder="1" applyFont="1"/>
    <xf borderId="0" fillId="4" fontId="16" numFmtId="0" xfId="0" applyAlignment="1" applyFont="1">
      <alignment vertical="center"/>
    </xf>
    <xf borderId="6" fillId="10" fontId="27" numFmtId="0" xfId="0" applyAlignment="1" applyBorder="1" applyFont="1">
      <alignment horizontal="left" readingOrder="0" vertical="center"/>
    </xf>
    <xf borderId="0" fillId="0" fontId="27" numFmtId="0" xfId="0" applyAlignment="1" applyFont="1">
      <alignment vertical="center"/>
    </xf>
    <xf borderId="6" fillId="10" fontId="27" numFmtId="0" xfId="0" applyAlignment="1" applyBorder="1" applyFont="1">
      <alignment shrinkToFit="0" vertical="center" wrapText="1"/>
    </xf>
    <xf borderId="6" fillId="0" fontId="24" numFmtId="0" xfId="0" applyAlignment="1" applyBorder="1" applyFont="1">
      <alignment shrinkToFit="0" vertical="center" wrapText="1"/>
    </xf>
    <xf borderId="0" fillId="0" fontId="24" numFmtId="0" xfId="0" applyAlignment="1" applyFont="1">
      <alignment vertical="center"/>
    </xf>
    <xf borderId="6" fillId="10" fontId="24" numFmtId="0" xfId="0" applyAlignment="1" applyBorder="1" applyFont="1">
      <alignment shrinkToFit="0" vertical="center" wrapText="1"/>
    </xf>
    <xf borderId="0" fillId="0" fontId="13" numFmtId="0" xfId="0" applyAlignment="1" applyFont="1">
      <alignment horizontal="right" vertical="center"/>
    </xf>
    <xf borderId="1" fillId="2" fontId="28" numFmtId="0" xfId="0" applyAlignment="1" applyBorder="1" applyFont="1">
      <alignment horizontal="center" vertical="center"/>
    </xf>
    <xf borderId="4" fillId="3" fontId="3" numFmtId="0" xfId="0" applyAlignment="1" applyBorder="1" applyFont="1">
      <alignment horizontal="center" readingOrder="0" shrinkToFit="0" vertical="center" wrapText="1"/>
    </xf>
    <xf borderId="4" fillId="7" fontId="29" numFmtId="0" xfId="0" applyAlignment="1" applyBorder="1" applyFont="1">
      <alignment horizontal="center" readingOrder="0" shrinkToFit="0" vertical="center" wrapText="1"/>
    </xf>
    <xf borderId="4" fillId="7" fontId="30" numFmtId="0" xfId="0" applyAlignment="1" applyBorder="1" applyFont="1">
      <alignment horizontal="left" readingOrder="0" shrinkToFit="0" vertical="center" wrapText="1"/>
    </xf>
    <xf borderId="4" fillId="7" fontId="30" numFmtId="164" xfId="0" applyAlignment="1" applyBorder="1" applyFont="1" applyNumberFormat="1">
      <alignment horizontal="center" readingOrder="0" shrinkToFit="0" vertical="center" wrapText="1"/>
    </xf>
    <xf borderId="4" fillId="12" fontId="29" numFmtId="0" xfId="0" applyAlignment="1" applyBorder="1" applyFill="1" applyFont="1">
      <alignment horizontal="center" readingOrder="0" shrinkToFit="0" vertical="center" wrapText="1"/>
    </xf>
    <xf borderId="4" fillId="12" fontId="30" numFmtId="0" xfId="0" applyAlignment="1" applyBorder="1" applyFont="1">
      <alignment horizontal="left" readingOrder="0" shrinkToFit="0" vertical="center" wrapText="1"/>
    </xf>
    <xf borderId="4" fillId="12" fontId="30" numFmtId="164" xfId="0" applyAlignment="1" applyBorder="1" applyFont="1" applyNumberFormat="1">
      <alignment horizontal="center" readingOrder="0" shrinkToFit="0" vertical="center" wrapText="1"/>
    </xf>
    <xf borderId="4" fillId="12" fontId="29" numFmtId="0" xfId="0" applyAlignment="1" applyBorder="1" applyFont="1">
      <alignment horizontal="center" shrinkToFit="0" vertical="center" wrapText="1"/>
    </xf>
    <xf borderId="4" fillId="8" fontId="29" numFmtId="0" xfId="0" applyAlignment="1" applyBorder="1" applyFont="1">
      <alignment horizontal="center" shrinkToFit="0" vertical="center" wrapText="1"/>
    </xf>
    <xf borderId="4" fillId="8" fontId="30" numFmtId="0" xfId="0" applyAlignment="1" applyBorder="1" applyFont="1">
      <alignment horizontal="left" readingOrder="0" shrinkToFit="0" vertical="center" wrapText="1"/>
    </xf>
    <xf borderId="4" fillId="8" fontId="30" numFmtId="164" xfId="0" applyAlignment="1" applyBorder="1" applyFont="1" applyNumberFormat="1">
      <alignment horizontal="center" readingOrder="0" shrinkToFit="0" vertical="center" wrapText="1"/>
    </xf>
    <xf borderId="4" fillId="8" fontId="29" numFmtId="0" xfId="0" applyAlignment="1" applyBorder="1" applyFont="1">
      <alignment horizontal="center" readingOrder="0" shrinkToFit="0" vertical="center" wrapText="1"/>
    </xf>
    <xf borderId="4" fillId="13" fontId="29" numFmtId="0" xfId="0" applyAlignment="1" applyBorder="1" applyFill="1" applyFont="1">
      <alignment horizontal="center" readingOrder="0" shrinkToFit="0" vertical="center" wrapText="1"/>
    </xf>
    <xf borderId="4" fillId="13" fontId="30" numFmtId="0" xfId="0" applyAlignment="1" applyBorder="1" applyFont="1">
      <alignment horizontal="left" readingOrder="0" shrinkToFit="0" vertical="center" wrapText="1"/>
    </xf>
    <xf borderId="4" fillId="13" fontId="30" numFmtId="164" xfId="0" applyAlignment="1" applyBorder="1" applyFont="1" applyNumberFormat="1">
      <alignment horizontal="center" readingOrder="0" shrinkToFit="0" vertical="center" wrapText="1"/>
    </xf>
    <xf borderId="0" fillId="0" fontId="31" numFmtId="0" xfId="0" applyAlignment="1" applyFont="1">
      <alignment readingOrder="0"/>
    </xf>
    <xf borderId="4" fillId="4" fontId="29" numFmtId="0" xfId="0" applyAlignment="1" applyBorder="1" applyFont="1">
      <alignment horizontal="center" readingOrder="0" shrinkToFit="0" vertical="center" wrapText="1"/>
    </xf>
    <xf borderId="0" fillId="0" fontId="31" numFmtId="164" xfId="0" applyFont="1" applyNumberFormat="1"/>
    <xf borderId="0" fillId="0" fontId="32" numFmtId="0" xfId="0" applyAlignment="1" applyFont="1">
      <alignment readingOrder="0" shrinkToFit="0" wrapText="1"/>
    </xf>
    <xf borderId="0" fillId="0" fontId="32" numFmtId="0" xfId="0" applyAlignment="1" applyFont="1">
      <alignment shrinkToFit="0" wrapText="1"/>
    </xf>
    <xf borderId="6" fillId="3" fontId="33" numFmtId="0" xfId="0" applyAlignment="1" applyBorder="1" applyFont="1">
      <alignment horizontal="center" readingOrder="0" shrinkToFit="0" vertical="center" wrapText="1"/>
    </xf>
    <xf borderId="0" fillId="0" fontId="34" numFmtId="0" xfId="0" applyAlignment="1" applyFont="1">
      <alignment horizontal="center" readingOrder="0" shrinkToFit="0" wrapText="1"/>
    </xf>
    <xf borderId="4" fillId="13" fontId="32" numFmtId="0" xfId="0" applyAlignment="1" applyBorder="1" applyFont="1">
      <alignment horizontal="left" readingOrder="0" shrinkToFit="0" vertical="center" wrapText="1"/>
    </xf>
    <xf borderId="0" fillId="0" fontId="32" numFmtId="0" xfId="0" applyAlignment="1" applyFont="1">
      <alignment horizontal="left" readingOrder="0" shrinkToFit="0" wrapText="1"/>
    </xf>
    <xf borderId="4" fillId="13" fontId="34" numFmtId="0" xfId="0" applyAlignment="1" applyBorder="1" applyFont="1">
      <alignment horizontal="center" readingOrder="0" shrinkToFit="0" vertical="center" wrapText="1"/>
    </xf>
    <xf borderId="0" fillId="0" fontId="32" numFmtId="0" xfId="0" applyAlignment="1" applyFont="1">
      <alignment horizontal="left" shrinkToFit="0" wrapText="1"/>
    </xf>
    <xf borderId="0" fillId="0" fontId="31" numFmtId="0" xfId="0" applyAlignment="1" applyFont="1">
      <alignment horizontal="right" readingOrder="0" shrinkToFit="0" vertical="center" wrapText="0"/>
    </xf>
    <xf borderId="0" fillId="0" fontId="31" numFmtId="0" xfId="0" applyAlignment="1" applyFont="1">
      <alignment horizontal="left" readingOrder="0" shrinkToFit="0" vertical="center" wrapText="0"/>
    </xf>
    <xf borderId="0" fillId="0" fontId="31" numFmtId="0" xfId="0" applyAlignment="1" applyFont="1">
      <alignment horizontal="right" shrinkToFit="0" vertical="center" wrapText="0"/>
    </xf>
    <xf borderId="0" fillId="0" fontId="31" numFmtId="0" xfId="0" applyAlignment="1" applyFont="1">
      <alignment horizontal="left" readingOrder="0" shrinkToFit="0" vertical="center" wrapText="0"/>
    </xf>
    <xf borderId="0" fillId="0" fontId="31" numFmtId="0" xfId="0" applyAlignment="1" applyFont="1">
      <alignment horizontal="left" shrinkToFit="0" vertical="center" wrapText="0"/>
    </xf>
    <xf borderId="0" fillId="0" fontId="31" numFmtId="0" xfId="0" applyAlignment="1" applyFont="1">
      <alignment horizontal="lef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Діаграма 1 Розподіл бюджету за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Розподіл бюджету за фазами MVP Валідації</a:t>
            </a:r>
          </a:p>
        </c:rich>
      </c:tx>
      <c:overlay val="0"/>
    </c:title>
    <c:plotArea>
      <c:layout/>
      <c:barChart>
        <c:barDir val="col"/>
        <c:ser>
          <c:idx val="0"/>
          <c:order val="0"/>
          <c:tx>
            <c:strRef>
              <c:f>'Діаграма 1 Розподіл бюджету за '!$B$3</c:f>
            </c:strRef>
          </c:tx>
          <c:spPr>
            <a:solidFill>
              <a:srgbClr val="4C78A8"/>
            </a:solidFill>
            <a:ln cmpd="sng">
              <a:solidFill>
                <a:srgbClr val="000000"/>
              </a:solidFill>
            </a:ln>
          </c:spPr>
          <c:cat>
            <c:strRef>
              <c:f>'Діаграма 1 Розподіл бюджету за '!$A$4:$A$11</c:f>
            </c:strRef>
          </c:cat>
          <c:val>
            <c:numRef>
              <c:f>'Діаграма 1 Розподіл бюджету за '!$B$4:$B$11</c:f>
              <c:numCache/>
            </c:numRef>
          </c:val>
        </c:ser>
        <c:axId val="672123990"/>
        <c:axId val="118307472"/>
      </c:barChart>
      <c:catAx>
        <c:axId val="6721239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Фаза проекту</a:t>
                </a:r>
              </a:p>
            </c:rich>
          </c:tx>
          <c:overlay val="0"/>
        </c:title>
        <c:numFmt formatCode="General" sourceLinked="1"/>
        <c:majorTickMark val="none"/>
        <c:minorTickMark val="none"/>
        <c:spPr/>
        <c:txPr>
          <a:bodyPr/>
          <a:lstStyle/>
          <a:p>
            <a:pPr lvl="0">
              <a:defRPr b="0">
                <a:solidFill>
                  <a:srgbClr val="000000"/>
                </a:solidFill>
                <a:latin typeface="+mn-lt"/>
              </a:defRPr>
            </a:pPr>
          </a:p>
        </c:txPr>
        <c:crossAx val="118307472"/>
      </c:catAx>
      <c:valAx>
        <c:axId val="118307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Бюджет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2123990"/>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B12" displayName="Розподіл_бюджету_за_фазами_MVP_Валідації" name="Розподіл_бюджету_за_фазами_MVP_Валідації" id="1">
  <tableColumns count="2">
    <tableColumn name="Phase" id="1"/>
    <tableColumn name="Budget" id="2"/>
  </tableColumns>
  <tableStyleInfo name="Діаграма 1 Розподіл бюджету за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2" width="20.0"/>
    <col customWidth="1" min="3" max="3" width="28.0"/>
    <col customWidth="1" min="4" max="4" width="22.0"/>
    <col customWidth="1" min="5" max="5" width="40.0"/>
    <col customWidth="1" min="6" max="8" width="14.0"/>
    <col customWidth="1" min="9" max="26" width="8.71"/>
  </cols>
  <sheetData>
    <row r="1" ht="39.75" customHeight="1">
      <c r="A1" s="1" t="s">
        <v>0</v>
      </c>
      <c r="B1" s="2"/>
      <c r="C1" s="2"/>
      <c r="D1" s="2"/>
      <c r="E1" s="2"/>
      <c r="F1" s="2"/>
      <c r="G1" s="2"/>
      <c r="H1" s="3"/>
    </row>
    <row r="2" ht="30.0" customHeight="1">
      <c r="A2" s="4" t="s">
        <v>1</v>
      </c>
      <c r="B2" s="4" t="s">
        <v>2</v>
      </c>
      <c r="C2" s="4" t="s">
        <v>3</v>
      </c>
      <c r="D2" s="4" t="s">
        <v>4</v>
      </c>
      <c r="E2" s="4" t="s">
        <v>5</v>
      </c>
      <c r="F2" s="4" t="s">
        <v>6</v>
      </c>
      <c r="G2" s="4" t="s">
        <v>7</v>
      </c>
      <c r="H2" s="4" t="s">
        <v>8</v>
      </c>
    </row>
    <row r="3" ht="37.5" customHeight="1">
      <c r="A3" s="5">
        <v>1.0</v>
      </c>
      <c r="B3" s="6" t="s">
        <v>9</v>
      </c>
      <c r="C3" s="6" t="s">
        <v>10</v>
      </c>
      <c r="D3" s="6" t="s">
        <v>11</v>
      </c>
      <c r="E3" s="7" t="s">
        <v>12</v>
      </c>
      <c r="F3" s="5" t="s">
        <v>13</v>
      </c>
      <c r="G3" s="5" t="s">
        <v>14</v>
      </c>
      <c r="H3" s="8" t="s">
        <v>15</v>
      </c>
    </row>
    <row r="4" ht="37.5" customHeight="1">
      <c r="A4" s="9">
        <v>2.0</v>
      </c>
      <c r="B4" s="10" t="s">
        <v>9</v>
      </c>
      <c r="C4" s="10" t="s">
        <v>16</v>
      </c>
      <c r="D4" s="10" t="s">
        <v>17</v>
      </c>
      <c r="E4" s="11" t="s">
        <v>18</v>
      </c>
      <c r="F4" s="9" t="s">
        <v>19</v>
      </c>
      <c r="G4" s="9" t="s">
        <v>20</v>
      </c>
      <c r="H4" s="8" t="s">
        <v>15</v>
      </c>
    </row>
    <row r="5" ht="37.5" customHeight="1">
      <c r="A5" s="5">
        <v>3.0</v>
      </c>
      <c r="B5" s="6" t="s">
        <v>9</v>
      </c>
      <c r="C5" s="6" t="s">
        <v>21</v>
      </c>
      <c r="D5" s="6" t="s">
        <v>22</v>
      </c>
      <c r="E5" s="7" t="s">
        <v>23</v>
      </c>
      <c r="F5" s="5" t="s">
        <v>24</v>
      </c>
      <c r="G5" s="5" t="s">
        <v>14</v>
      </c>
      <c r="H5" s="8" t="s">
        <v>15</v>
      </c>
    </row>
    <row r="6" ht="37.5" customHeight="1">
      <c r="A6" s="9">
        <v>4.0</v>
      </c>
      <c r="B6" s="10" t="s">
        <v>9</v>
      </c>
      <c r="C6" s="10" t="s">
        <v>25</v>
      </c>
      <c r="D6" s="10" t="s">
        <v>26</v>
      </c>
      <c r="E6" s="11" t="s">
        <v>27</v>
      </c>
      <c r="F6" s="9" t="s">
        <v>28</v>
      </c>
      <c r="G6" s="9" t="s">
        <v>29</v>
      </c>
      <c r="H6" s="8" t="s">
        <v>15</v>
      </c>
    </row>
    <row r="7" ht="37.5" customHeight="1">
      <c r="A7" s="5">
        <v>5.0</v>
      </c>
      <c r="B7" s="6" t="s">
        <v>9</v>
      </c>
      <c r="C7" s="6" t="s">
        <v>30</v>
      </c>
      <c r="D7" s="6" t="s">
        <v>31</v>
      </c>
      <c r="E7" s="7" t="s">
        <v>32</v>
      </c>
      <c r="F7" s="5" t="s">
        <v>33</v>
      </c>
      <c r="G7" s="5" t="s">
        <v>34</v>
      </c>
      <c r="H7" s="8" t="s">
        <v>15</v>
      </c>
    </row>
    <row r="8" ht="37.5" customHeight="1">
      <c r="A8" s="9">
        <v>6.0</v>
      </c>
      <c r="B8" s="10" t="s">
        <v>35</v>
      </c>
      <c r="C8" s="10" t="s">
        <v>36</v>
      </c>
      <c r="D8" s="10" t="s">
        <v>37</v>
      </c>
      <c r="E8" s="11" t="s">
        <v>38</v>
      </c>
      <c r="F8" s="9" t="s">
        <v>39</v>
      </c>
      <c r="G8" s="9" t="s">
        <v>14</v>
      </c>
      <c r="H8" s="8" t="s">
        <v>15</v>
      </c>
    </row>
    <row r="9" ht="37.5" customHeight="1">
      <c r="A9" s="5">
        <v>7.0</v>
      </c>
      <c r="B9" s="6" t="s">
        <v>35</v>
      </c>
      <c r="C9" s="6" t="s">
        <v>40</v>
      </c>
      <c r="D9" s="6" t="s">
        <v>41</v>
      </c>
      <c r="E9" s="7" t="s">
        <v>42</v>
      </c>
      <c r="F9" s="5" t="s">
        <v>28</v>
      </c>
      <c r="G9" s="5" t="s">
        <v>34</v>
      </c>
      <c r="H9" s="12" t="s">
        <v>43</v>
      </c>
    </row>
    <row r="10" ht="37.5" customHeight="1">
      <c r="A10" s="9">
        <v>8.0</v>
      </c>
      <c r="B10" s="10" t="s">
        <v>35</v>
      </c>
      <c r="C10" s="10" t="s">
        <v>44</v>
      </c>
      <c r="D10" s="10" t="s">
        <v>45</v>
      </c>
      <c r="E10" s="11" t="s">
        <v>46</v>
      </c>
      <c r="F10" s="9" t="s">
        <v>28</v>
      </c>
      <c r="G10" s="9" t="s">
        <v>34</v>
      </c>
      <c r="H10" s="12" t="s">
        <v>43</v>
      </c>
    </row>
    <row r="11" ht="37.5" customHeight="1">
      <c r="A11" s="5">
        <v>9.0</v>
      </c>
      <c r="B11" s="6" t="s">
        <v>35</v>
      </c>
      <c r="C11" s="6" t="s">
        <v>47</v>
      </c>
      <c r="D11" s="6" t="s">
        <v>48</v>
      </c>
      <c r="E11" s="7" t="s">
        <v>49</v>
      </c>
      <c r="F11" s="5" t="s">
        <v>50</v>
      </c>
      <c r="G11" s="5" t="s">
        <v>34</v>
      </c>
      <c r="H11" s="12" t="s">
        <v>43</v>
      </c>
    </row>
    <row r="12" ht="37.5" customHeight="1">
      <c r="A12" s="9">
        <v>10.0</v>
      </c>
      <c r="B12" s="10" t="s">
        <v>35</v>
      </c>
      <c r="C12" s="10" t="s">
        <v>51</v>
      </c>
      <c r="D12" s="10" t="s">
        <v>52</v>
      </c>
      <c r="E12" s="11" t="s">
        <v>53</v>
      </c>
      <c r="F12" s="9" t="s">
        <v>13</v>
      </c>
      <c r="G12" s="9" t="s">
        <v>14</v>
      </c>
      <c r="H12" s="13" t="s">
        <v>54</v>
      </c>
    </row>
    <row r="13" ht="37.5" customHeight="1">
      <c r="A13" s="5">
        <v>11.0</v>
      </c>
      <c r="B13" s="6" t="s">
        <v>55</v>
      </c>
      <c r="C13" s="6" t="s">
        <v>56</v>
      </c>
      <c r="D13" s="6" t="s">
        <v>57</v>
      </c>
      <c r="E13" s="7" t="s">
        <v>58</v>
      </c>
      <c r="F13" s="5" t="s">
        <v>59</v>
      </c>
      <c r="G13" s="5" t="s">
        <v>20</v>
      </c>
      <c r="H13" s="8" t="s">
        <v>15</v>
      </c>
    </row>
    <row r="14" ht="37.5" customHeight="1">
      <c r="A14" s="9">
        <v>12.0</v>
      </c>
      <c r="B14" s="10" t="s">
        <v>55</v>
      </c>
      <c r="C14" s="10" t="s">
        <v>60</v>
      </c>
      <c r="D14" s="10" t="s">
        <v>61</v>
      </c>
      <c r="E14" s="11" t="s">
        <v>62</v>
      </c>
      <c r="F14" s="9" t="s">
        <v>28</v>
      </c>
      <c r="G14" s="9" t="s">
        <v>63</v>
      </c>
      <c r="H14" s="12" t="s">
        <v>43</v>
      </c>
    </row>
    <row r="15" ht="37.5" customHeight="1">
      <c r="A15" s="5">
        <v>13.0</v>
      </c>
      <c r="B15" s="6" t="s">
        <v>55</v>
      </c>
      <c r="C15" s="6" t="s">
        <v>64</v>
      </c>
      <c r="D15" s="6" t="s">
        <v>65</v>
      </c>
      <c r="E15" s="7" t="s">
        <v>66</v>
      </c>
      <c r="F15" s="5" t="s">
        <v>13</v>
      </c>
      <c r="G15" s="5" t="s">
        <v>14</v>
      </c>
      <c r="H15" s="8" t="s">
        <v>15</v>
      </c>
    </row>
    <row r="16" ht="37.5" customHeight="1">
      <c r="A16" s="9">
        <v>14.0</v>
      </c>
      <c r="B16" s="10" t="s">
        <v>55</v>
      </c>
      <c r="C16" s="10" t="s">
        <v>67</v>
      </c>
      <c r="D16" s="10" t="s">
        <v>68</v>
      </c>
      <c r="E16" s="11" t="s">
        <v>69</v>
      </c>
      <c r="F16" s="9" t="s">
        <v>28</v>
      </c>
      <c r="G16" s="9" t="s">
        <v>70</v>
      </c>
      <c r="H16" s="12" t="s">
        <v>43</v>
      </c>
    </row>
    <row r="17" ht="37.5" customHeight="1">
      <c r="A17" s="5">
        <v>15.0</v>
      </c>
      <c r="B17" s="6" t="s">
        <v>55</v>
      </c>
      <c r="C17" s="6" t="s">
        <v>71</v>
      </c>
      <c r="D17" s="6" t="s">
        <v>72</v>
      </c>
      <c r="E17" s="7" t="s">
        <v>73</v>
      </c>
      <c r="F17" s="5" t="s">
        <v>50</v>
      </c>
      <c r="G17" s="5" t="s">
        <v>14</v>
      </c>
      <c r="H17" s="12" t="s">
        <v>43</v>
      </c>
    </row>
    <row r="18" ht="37.5" customHeight="1">
      <c r="A18" s="9">
        <v>16.0</v>
      </c>
      <c r="B18" s="10" t="s">
        <v>55</v>
      </c>
      <c r="C18" s="10" t="s">
        <v>74</v>
      </c>
      <c r="D18" s="10" t="s">
        <v>75</v>
      </c>
      <c r="E18" s="11" t="s">
        <v>76</v>
      </c>
      <c r="F18" s="9" t="s">
        <v>28</v>
      </c>
      <c r="G18" s="9" t="s">
        <v>14</v>
      </c>
      <c r="H18" s="12" t="s">
        <v>43</v>
      </c>
    </row>
    <row r="19" ht="37.5" customHeight="1">
      <c r="A19" s="5">
        <v>17.0</v>
      </c>
      <c r="B19" s="6" t="s">
        <v>77</v>
      </c>
      <c r="C19" s="6" t="s">
        <v>78</v>
      </c>
      <c r="D19" s="6" t="s">
        <v>79</v>
      </c>
      <c r="E19" s="7" t="s">
        <v>80</v>
      </c>
      <c r="F19" s="5" t="s">
        <v>81</v>
      </c>
      <c r="G19" s="5" t="s">
        <v>63</v>
      </c>
      <c r="H19" s="8" t="s">
        <v>15</v>
      </c>
    </row>
    <row r="20" ht="37.5" customHeight="1">
      <c r="A20" s="9">
        <v>18.0</v>
      </c>
      <c r="B20" s="10" t="s">
        <v>77</v>
      </c>
      <c r="C20" s="10" t="s">
        <v>82</v>
      </c>
      <c r="D20" s="10" t="s">
        <v>83</v>
      </c>
      <c r="E20" s="11" t="s">
        <v>84</v>
      </c>
      <c r="F20" s="9" t="s">
        <v>81</v>
      </c>
      <c r="G20" s="9" t="s">
        <v>63</v>
      </c>
      <c r="H20" s="8" t="s">
        <v>15</v>
      </c>
    </row>
    <row r="21" ht="37.5" customHeight="1">
      <c r="A21" s="5">
        <v>19.0</v>
      </c>
      <c r="B21" s="6" t="s">
        <v>77</v>
      </c>
      <c r="C21" s="6" t="s">
        <v>85</v>
      </c>
      <c r="D21" s="6" t="s">
        <v>86</v>
      </c>
      <c r="E21" s="7" t="s">
        <v>87</v>
      </c>
      <c r="F21" s="5" t="s">
        <v>13</v>
      </c>
      <c r="G21" s="5" t="s">
        <v>14</v>
      </c>
      <c r="H21" s="12" t="s">
        <v>43</v>
      </c>
    </row>
    <row r="22" ht="37.5" customHeight="1">
      <c r="A22" s="9">
        <v>20.0</v>
      </c>
      <c r="B22" s="10" t="s">
        <v>77</v>
      </c>
      <c r="C22" s="10" t="s">
        <v>88</v>
      </c>
      <c r="D22" s="10" t="s">
        <v>89</v>
      </c>
      <c r="E22" s="11" t="s">
        <v>90</v>
      </c>
      <c r="F22" s="9" t="s">
        <v>50</v>
      </c>
      <c r="G22" s="9" t="s">
        <v>14</v>
      </c>
      <c r="H22" s="12" t="s">
        <v>43</v>
      </c>
    </row>
    <row r="23" ht="37.5" customHeight="1">
      <c r="A23" s="5">
        <v>21.0</v>
      </c>
      <c r="B23" s="6" t="s">
        <v>77</v>
      </c>
      <c r="C23" s="6" t="s">
        <v>91</v>
      </c>
      <c r="D23" s="6" t="s">
        <v>92</v>
      </c>
      <c r="E23" s="7" t="s">
        <v>93</v>
      </c>
      <c r="F23" s="5" t="s">
        <v>94</v>
      </c>
      <c r="G23" s="5" t="s">
        <v>14</v>
      </c>
      <c r="H23" s="13" t="s">
        <v>54</v>
      </c>
    </row>
    <row r="24" ht="37.5" customHeight="1">
      <c r="A24" s="9">
        <v>22.0</v>
      </c>
      <c r="B24" s="10" t="s">
        <v>95</v>
      </c>
      <c r="C24" s="10" t="s">
        <v>96</v>
      </c>
      <c r="D24" s="10" t="s">
        <v>97</v>
      </c>
      <c r="E24" s="11" t="s">
        <v>98</v>
      </c>
      <c r="F24" s="9" t="s">
        <v>13</v>
      </c>
      <c r="G24" s="9" t="s">
        <v>14</v>
      </c>
      <c r="H24" s="8" t="s">
        <v>15</v>
      </c>
    </row>
    <row r="25" ht="37.5" customHeight="1">
      <c r="A25" s="5">
        <v>23.0</v>
      </c>
      <c r="B25" s="6" t="s">
        <v>95</v>
      </c>
      <c r="C25" s="6" t="s">
        <v>99</v>
      </c>
      <c r="D25" s="6" t="s">
        <v>100</v>
      </c>
      <c r="E25" s="7" t="s">
        <v>101</v>
      </c>
      <c r="F25" s="5" t="s">
        <v>13</v>
      </c>
      <c r="G25" s="5" t="s">
        <v>14</v>
      </c>
      <c r="H25" s="8" t="s">
        <v>15</v>
      </c>
    </row>
    <row r="26" ht="37.5" customHeight="1">
      <c r="A26" s="9">
        <v>24.0</v>
      </c>
      <c r="B26" s="10" t="s">
        <v>95</v>
      </c>
      <c r="C26" s="10" t="s">
        <v>102</v>
      </c>
      <c r="D26" s="10" t="s">
        <v>103</v>
      </c>
      <c r="E26" s="11" t="s">
        <v>104</v>
      </c>
      <c r="F26" s="9" t="s">
        <v>13</v>
      </c>
      <c r="G26" s="9" t="s">
        <v>105</v>
      </c>
      <c r="H26" s="12" t="s">
        <v>43</v>
      </c>
    </row>
    <row r="27" ht="37.5" customHeight="1">
      <c r="A27" s="5">
        <v>25.0</v>
      </c>
      <c r="B27" s="6" t="s">
        <v>95</v>
      </c>
      <c r="C27" s="6" t="s">
        <v>106</v>
      </c>
      <c r="D27" s="6" t="s">
        <v>107</v>
      </c>
      <c r="E27" s="7" t="s">
        <v>108</v>
      </c>
      <c r="F27" s="5" t="s">
        <v>109</v>
      </c>
      <c r="G27" s="5" t="s">
        <v>105</v>
      </c>
      <c r="H27" s="12" t="s">
        <v>43</v>
      </c>
    </row>
    <row r="28" ht="37.5" customHeight="1">
      <c r="A28" s="9">
        <v>26.0</v>
      </c>
      <c r="B28" s="10" t="s">
        <v>95</v>
      </c>
      <c r="C28" s="10" t="s">
        <v>110</v>
      </c>
      <c r="D28" s="10" t="s">
        <v>111</v>
      </c>
      <c r="E28" s="11" t="s">
        <v>112</v>
      </c>
      <c r="F28" s="9" t="s">
        <v>28</v>
      </c>
      <c r="G28" s="9" t="s">
        <v>34</v>
      </c>
      <c r="H28" s="12" t="s">
        <v>43</v>
      </c>
    </row>
    <row r="29" ht="37.5" customHeight="1">
      <c r="A29" s="5">
        <v>27.0</v>
      </c>
      <c r="B29" s="6" t="s">
        <v>95</v>
      </c>
      <c r="C29" s="6" t="s">
        <v>113</v>
      </c>
      <c r="D29" s="6" t="s">
        <v>114</v>
      </c>
      <c r="E29" s="7" t="s">
        <v>115</v>
      </c>
      <c r="F29" s="5" t="s">
        <v>13</v>
      </c>
      <c r="G29" s="5" t="s">
        <v>14</v>
      </c>
      <c r="H29" s="13" t="s">
        <v>54</v>
      </c>
    </row>
    <row r="30" ht="37.5" customHeight="1">
      <c r="A30" s="9">
        <v>28.0</v>
      </c>
      <c r="B30" s="10" t="s">
        <v>116</v>
      </c>
      <c r="C30" s="10" t="s">
        <v>117</v>
      </c>
      <c r="D30" s="10" t="s">
        <v>118</v>
      </c>
      <c r="E30" s="11" t="s">
        <v>119</v>
      </c>
      <c r="F30" s="9" t="s">
        <v>81</v>
      </c>
      <c r="G30" s="9" t="s">
        <v>63</v>
      </c>
      <c r="H30" s="8" t="s">
        <v>15</v>
      </c>
    </row>
    <row r="31" ht="37.5" customHeight="1">
      <c r="A31" s="5">
        <v>29.0</v>
      </c>
      <c r="B31" s="6" t="s">
        <v>116</v>
      </c>
      <c r="C31" s="6" t="s">
        <v>120</v>
      </c>
      <c r="D31" s="6" t="s">
        <v>121</v>
      </c>
      <c r="E31" s="7" t="s">
        <v>122</v>
      </c>
      <c r="F31" s="5" t="s">
        <v>50</v>
      </c>
      <c r="G31" s="5" t="s">
        <v>14</v>
      </c>
      <c r="H31" s="12" t="s">
        <v>43</v>
      </c>
    </row>
    <row r="32" ht="37.5" customHeight="1">
      <c r="A32" s="9">
        <v>30.0</v>
      </c>
      <c r="B32" s="10" t="s">
        <v>116</v>
      </c>
      <c r="C32" s="10" t="s">
        <v>123</v>
      </c>
      <c r="D32" s="10" t="s">
        <v>124</v>
      </c>
      <c r="E32" s="11" t="s">
        <v>125</v>
      </c>
      <c r="F32" s="9" t="s">
        <v>126</v>
      </c>
      <c r="G32" s="9" t="s">
        <v>34</v>
      </c>
      <c r="H32" s="12" t="s">
        <v>43</v>
      </c>
    </row>
    <row r="33" ht="37.5" customHeight="1">
      <c r="A33" s="5">
        <v>31.0</v>
      </c>
      <c r="B33" s="6" t="s">
        <v>116</v>
      </c>
      <c r="C33" s="6" t="s">
        <v>127</v>
      </c>
      <c r="D33" s="6" t="s">
        <v>128</v>
      </c>
      <c r="E33" s="7" t="s">
        <v>129</v>
      </c>
      <c r="F33" s="5" t="s">
        <v>130</v>
      </c>
      <c r="G33" s="5" t="s">
        <v>63</v>
      </c>
      <c r="H33" s="13" t="s">
        <v>54</v>
      </c>
    </row>
    <row r="34" ht="37.5" customHeight="1">
      <c r="A34" s="9">
        <v>32.0</v>
      </c>
      <c r="B34" s="10" t="s">
        <v>131</v>
      </c>
      <c r="C34" s="10" t="s">
        <v>132</v>
      </c>
      <c r="D34" s="10" t="s">
        <v>133</v>
      </c>
      <c r="E34" s="11" t="s">
        <v>134</v>
      </c>
      <c r="F34" s="9" t="s">
        <v>135</v>
      </c>
      <c r="G34" s="9" t="s">
        <v>136</v>
      </c>
      <c r="H34" s="8" t="s">
        <v>15</v>
      </c>
    </row>
    <row r="35" ht="37.5" customHeight="1">
      <c r="A35" s="5">
        <v>33.0</v>
      </c>
      <c r="B35" s="6" t="s">
        <v>131</v>
      </c>
      <c r="C35" s="6" t="s">
        <v>137</v>
      </c>
      <c r="D35" s="6" t="s">
        <v>138</v>
      </c>
      <c r="E35" s="7" t="s">
        <v>139</v>
      </c>
      <c r="F35" s="5" t="s">
        <v>50</v>
      </c>
      <c r="G35" s="5" t="s">
        <v>14</v>
      </c>
      <c r="H35" s="12" t="s">
        <v>43</v>
      </c>
    </row>
    <row r="36" ht="37.5" customHeight="1">
      <c r="A36" s="9">
        <v>34.0</v>
      </c>
      <c r="B36" s="10" t="s">
        <v>131</v>
      </c>
      <c r="C36" s="10" t="s">
        <v>140</v>
      </c>
      <c r="D36" s="10" t="s">
        <v>141</v>
      </c>
      <c r="E36" s="11" t="s">
        <v>142</v>
      </c>
      <c r="F36" s="9" t="s">
        <v>81</v>
      </c>
      <c r="G36" s="9" t="s">
        <v>14</v>
      </c>
      <c r="H36" s="12" t="s">
        <v>43</v>
      </c>
    </row>
    <row r="37" ht="37.5" customHeight="1">
      <c r="A37" s="5">
        <v>35.0</v>
      </c>
      <c r="B37" s="6" t="s">
        <v>131</v>
      </c>
      <c r="C37" s="6" t="s">
        <v>143</v>
      </c>
      <c r="D37" s="6" t="s">
        <v>144</v>
      </c>
      <c r="E37" s="7" t="s">
        <v>145</v>
      </c>
      <c r="F37" s="5" t="s">
        <v>126</v>
      </c>
      <c r="G37" s="5" t="s">
        <v>34</v>
      </c>
      <c r="H37" s="13" t="s">
        <v>54</v>
      </c>
    </row>
    <row r="38" ht="37.5" customHeight="1">
      <c r="A38" s="9">
        <v>36.0</v>
      </c>
      <c r="B38" s="10" t="s">
        <v>131</v>
      </c>
      <c r="C38" s="10" t="s">
        <v>146</v>
      </c>
      <c r="D38" s="10" t="s">
        <v>147</v>
      </c>
      <c r="E38" s="11" t="s">
        <v>148</v>
      </c>
      <c r="F38" s="9" t="s">
        <v>81</v>
      </c>
      <c r="G38" s="9" t="s">
        <v>34</v>
      </c>
      <c r="H38" s="13" t="s">
        <v>54</v>
      </c>
    </row>
    <row r="39" ht="37.5" customHeight="1">
      <c r="A39" s="5">
        <v>37.0</v>
      </c>
      <c r="B39" s="6" t="s">
        <v>131</v>
      </c>
      <c r="C39" s="6" t="s">
        <v>149</v>
      </c>
      <c r="D39" s="6" t="s">
        <v>150</v>
      </c>
      <c r="E39" s="7" t="s">
        <v>151</v>
      </c>
      <c r="F39" s="5" t="s">
        <v>81</v>
      </c>
      <c r="G39" s="5" t="s">
        <v>34</v>
      </c>
      <c r="H39" s="13" t="s">
        <v>54</v>
      </c>
    </row>
    <row r="40" ht="37.5" customHeight="1">
      <c r="A40" s="9">
        <v>38.0</v>
      </c>
      <c r="B40" s="10" t="s">
        <v>152</v>
      </c>
      <c r="C40" s="10" t="s">
        <v>153</v>
      </c>
      <c r="D40" s="10" t="s">
        <v>154</v>
      </c>
      <c r="E40" s="11" t="s">
        <v>155</v>
      </c>
      <c r="F40" s="9" t="s">
        <v>81</v>
      </c>
      <c r="G40" s="9" t="s">
        <v>20</v>
      </c>
      <c r="H40" s="8" t="s">
        <v>15</v>
      </c>
    </row>
    <row r="41" ht="37.5" customHeight="1">
      <c r="A41" s="5">
        <v>39.0</v>
      </c>
      <c r="B41" s="6" t="s">
        <v>152</v>
      </c>
      <c r="C41" s="6" t="s">
        <v>156</v>
      </c>
      <c r="D41" s="6" t="s">
        <v>157</v>
      </c>
      <c r="E41" s="7" t="s">
        <v>158</v>
      </c>
      <c r="F41" s="5" t="s">
        <v>94</v>
      </c>
      <c r="G41" s="5" t="s">
        <v>14</v>
      </c>
      <c r="H41" s="8" t="s">
        <v>15</v>
      </c>
    </row>
    <row r="42" ht="37.5" customHeight="1">
      <c r="A42" s="9">
        <v>40.0</v>
      </c>
      <c r="B42" s="10" t="s">
        <v>152</v>
      </c>
      <c r="C42" s="10" t="s">
        <v>159</v>
      </c>
      <c r="D42" s="10" t="s">
        <v>160</v>
      </c>
      <c r="E42" s="11" t="s">
        <v>161</v>
      </c>
      <c r="F42" s="9" t="s">
        <v>81</v>
      </c>
      <c r="G42" s="9" t="s">
        <v>20</v>
      </c>
      <c r="H42" s="8" t="s">
        <v>15</v>
      </c>
    </row>
    <row r="43" ht="37.5" customHeight="1">
      <c r="A43" s="5">
        <v>41.0</v>
      </c>
      <c r="B43" s="6" t="s">
        <v>162</v>
      </c>
      <c r="C43" s="6" t="s">
        <v>163</v>
      </c>
      <c r="D43" s="6" t="s">
        <v>164</v>
      </c>
      <c r="E43" s="7" t="s">
        <v>165</v>
      </c>
      <c r="F43" s="5" t="s">
        <v>109</v>
      </c>
      <c r="G43" s="5" t="s">
        <v>14</v>
      </c>
      <c r="H43" s="12" t="s">
        <v>43</v>
      </c>
    </row>
    <row r="44" ht="37.5" customHeight="1">
      <c r="A44" s="9">
        <v>42.0</v>
      </c>
      <c r="B44" s="10" t="s">
        <v>162</v>
      </c>
      <c r="C44" s="10" t="s">
        <v>166</v>
      </c>
      <c r="D44" s="10" t="s">
        <v>167</v>
      </c>
      <c r="E44" s="11" t="s">
        <v>168</v>
      </c>
      <c r="F44" s="9" t="s">
        <v>130</v>
      </c>
      <c r="G44" s="9" t="s">
        <v>34</v>
      </c>
      <c r="H44" s="12" t="s">
        <v>43</v>
      </c>
    </row>
    <row r="45" ht="37.5" customHeight="1">
      <c r="A45" s="5">
        <v>43.0</v>
      </c>
      <c r="B45" s="6" t="s">
        <v>162</v>
      </c>
      <c r="C45" s="6" t="s">
        <v>169</v>
      </c>
      <c r="D45" s="6" t="s">
        <v>170</v>
      </c>
      <c r="E45" s="7" t="s">
        <v>171</v>
      </c>
      <c r="F45" s="5" t="s">
        <v>94</v>
      </c>
      <c r="G45" s="5" t="s">
        <v>63</v>
      </c>
      <c r="H45" s="8" t="s">
        <v>15</v>
      </c>
    </row>
    <row r="46" ht="37.5" customHeight="1">
      <c r="A46" s="9">
        <v>44.0</v>
      </c>
      <c r="B46" s="10" t="s">
        <v>162</v>
      </c>
      <c r="C46" s="10" t="s">
        <v>172</v>
      </c>
      <c r="D46" s="10" t="s">
        <v>173</v>
      </c>
      <c r="E46" s="11" t="s">
        <v>174</v>
      </c>
      <c r="F46" s="9" t="s">
        <v>13</v>
      </c>
      <c r="G46" s="9" t="s">
        <v>14</v>
      </c>
      <c r="H46" s="12" t="s">
        <v>43</v>
      </c>
    </row>
    <row r="47" ht="37.5" customHeight="1">
      <c r="A47" s="5">
        <v>45.0</v>
      </c>
      <c r="B47" s="6" t="s">
        <v>162</v>
      </c>
      <c r="C47" s="6" t="s">
        <v>175</v>
      </c>
      <c r="D47" s="6" t="s">
        <v>176</v>
      </c>
      <c r="E47" s="7" t="s">
        <v>177</v>
      </c>
      <c r="F47" s="5" t="s">
        <v>178</v>
      </c>
      <c r="G47" s="5" t="s">
        <v>34</v>
      </c>
      <c r="H47" s="12" t="s">
        <v>43</v>
      </c>
    </row>
    <row r="48" ht="37.5" customHeight="1">
      <c r="A48" s="9">
        <v>46.0</v>
      </c>
      <c r="B48" s="10" t="s">
        <v>162</v>
      </c>
      <c r="C48" s="10" t="s">
        <v>179</v>
      </c>
      <c r="D48" s="10" t="s">
        <v>180</v>
      </c>
      <c r="E48" s="11" t="s">
        <v>181</v>
      </c>
      <c r="F48" s="9" t="s">
        <v>109</v>
      </c>
      <c r="G48" s="9" t="s">
        <v>14</v>
      </c>
      <c r="H48" s="12" t="s">
        <v>43</v>
      </c>
    </row>
    <row r="49" ht="37.5" customHeight="1">
      <c r="A49" s="5">
        <v>47.0</v>
      </c>
      <c r="B49" s="6" t="s">
        <v>162</v>
      </c>
      <c r="C49" s="6" t="s">
        <v>182</v>
      </c>
      <c r="D49" s="6" t="s">
        <v>183</v>
      </c>
      <c r="E49" s="7" t="s">
        <v>184</v>
      </c>
      <c r="F49" s="5" t="s">
        <v>126</v>
      </c>
      <c r="G49" s="5" t="s">
        <v>34</v>
      </c>
      <c r="H49" s="13" t="s">
        <v>54</v>
      </c>
    </row>
    <row r="50" ht="37.5" customHeight="1">
      <c r="A50" s="5"/>
      <c r="B50" s="6"/>
      <c r="C50" s="6"/>
      <c r="D50" s="6"/>
      <c r="E50" s="7"/>
      <c r="F50" s="5"/>
      <c r="G50" s="5"/>
      <c r="H50" s="13"/>
    </row>
    <row r="51" ht="37.5" customHeight="1">
      <c r="A51" s="14">
        <v>48.0</v>
      </c>
      <c r="B51" s="15" t="s">
        <v>162</v>
      </c>
      <c r="C51" s="15" t="s">
        <v>185</v>
      </c>
      <c r="D51" s="15" t="s">
        <v>186</v>
      </c>
      <c r="E51" s="16" t="s">
        <v>187</v>
      </c>
      <c r="F51" s="14" t="s">
        <v>81</v>
      </c>
      <c r="G51" s="14" t="s">
        <v>14</v>
      </c>
      <c r="H51" s="17" t="s">
        <v>54</v>
      </c>
    </row>
    <row r="52" ht="37.5" customHeight="1">
      <c r="A52" s="14">
        <v>50.0</v>
      </c>
      <c r="B52" s="15" t="s">
        <v>188</v>
      </c>
      <c r="C52" s="15" t="s">
        <v>40</v>
      </c>
      <c r="D52" s="15" t="s">
        <v>189</v>
      </c>
      <c r="E52" s="16" t="s">
        <v>190</v>
      </c>
      <c r="F52" s="14" t="s">
        <v>126</v>
      </c>
      <c r="G52" s="14" t="s">
        <v>191</v>
      </c>
      <c r="H52" s="17" t="s">
        <v>43</v>
      </c>
    </row>
    <row r="53" ht="37.5" customHeight="1">
      <c r="A53" s="14">
        <v>51.0</v>
      </c>
      <c r="B53" s="15" t="s">
        <v>192</v>
      </c>
      <c r="C53" s="15" t="s">
        <v>193</v>
      </c>
      <c r="D53" s="15" t="s">
        <v>194</v>
      </c>
      <c r="E53" s="16" t="s">
        <v>195</v>
      </c>
      <c r="F53" s="14" t="s">
        <v>28</v>
      </c>
      <c r="G53" s="14" t="s">
        <v>63</v>
      </c>
      <c r="H53" s="17" t="s">
        <v>43</v>
      </c>
    </row>
    <row r="54" ht="37.5" customHeight="1">
      <c r="A54" s="14">
        <v>52.0</v>
      </c>
      <c r="B54" s="15" t="s">
        <v>196</v>
      </c>
      <c r="C54" s="15" t="s">
        <v>197</v>
      </c>
      <c r="D54" s="15" t="s">
        <v>198</v>
      </c>
      <c r="E54" s="16" t="s">
        <v>199</v>
      </c>
      <c r="F54" s="14" t="s">
        <v>28</v>
      </c>
      <c r="G54" s="14" t="s">
        <v>200</v>
      </c>
      <c r="H54" s="17" t="s">
        <v>54</v>
      </c>
    </row>
    <row r="55" ht="37.5" customHeight="1">
      <c r="A55" s="14">
        <v>53.0</v>
      </c>
      <c r="B55" s="15" t="s">
        <v>201</v>
      </c>
      <c r="C55" s="15" t="s">
        <v>202</v>
      </c>
      <c r="D55" s="15" t="s">
        <v>203</v>
      </c>
      <c r="E55" s="16" t="s">
        <v>204</v>
      </c>
      <c r="F55" s="14" t="s">
        <v>81</v>
      </c>
      <c r="G55" s="14" t="s">
        <v>205</v>
      </c>
      <c r="H55" s="17" t="s">
        <v>43</v>
      </c>
    </row>
    <row r="56" ht="37.5" customHeight="1">
      <c r="A56" s="14">
        <v>54.0</v>
      </c>
      <c r="B56" s="15" t="s">
        <v>206</v>
      </c>
      <c r="C56" s="15" t="s">
        <v>207</v>
      </c>
      <c r="D56" s="15" t="s">
        <v>208</v>
      </c>
      <c r="E56" s="16" t="s">
        <v>204</v>
      </c>
      <c r="F56" s="14" t="s">
        <v>28</v>
      </c>
      <c r="G56" s="14" t="s">
        <v>205</v>
      </c>
      <c r="H56" s="17" t="s">
        <v>43</v>
      </c>
    </row>
    <row r="57" ht="37.5" customHeight="1">
      <c r="A57" s="14">
        <v>55.0</v>
      </c>
      <c r="B57" s="15" t="s">
        <v>206</v>
      </c>
      <c r="C57" s="15" t="s">
        <v>209</v>
      </c>
      <c r="D57" s="15" t="s">
        <v>210</v>
      </c>
      <c r="E57" s="16" t="s">
        <v>211</v>
      </c>
      <c r="F57" s="14" t="s">
        <v>28</v>
      </c>
      <c r="G57" s="14" t="s">
        <v>29</v>
      </c>
      <c r="H57" s="17" t="s">
        <v>54</v>
      </c>
    </row>
    <row r="58" ht="37.5" customHeight="1">
      <c r="A58" s="9">
        <v>48.0</v>
      </c>
      <c r="B58" s="10" t="s">
        <v>162</v>
      </c>
      <c r="C58" s="10" t="s">
        <v>185</v>
      </c>
      <c r="D58" s="10" t="s">
        <v>186</v>
      </c>
      <c r="E58" s="11" t="s">
        <v>212</v>
      </c>
      <c r="F58" s="9" t="s">
        <v>81</v>
      </c>
      <c r="G58" s="9" t="s">
        <v>14</v>
      </c>
      <c r="H58" s="13" t="s">
        <v>54</v>
      </c>
    </row>
    <row r="59" ht="15.75" customHeight="1">
      <c r="A59" s="18" t="s">
        <v>213</v>
      </c>
      <c r="B59" s="2"/>
      <c r="C59" s="2"/>
      <c r="D59" s="2"/>
      <c r="E59" s="2"/>
      <c r="F59" s="2"/>
      <c r="G59" s="2"/>
      <c r="H59" s="3"/>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2">
    <mergeCell ref="A1:H1"/>
    <mergeCell ref="A59:H5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2.14"/>
    <col customWidth="1" min="2" max="7" width="23.86"/>
    <col customWidth="1" min="8" max="9" width="27.0"/>
    <col customWidth="1" min="10" max="27" width="8.71"/>
  </cols>
  <sheetData>
    <row r="1" ht="30.75" customHeight="1">
      <c r="A1" s="19" t="s">
        <v>214</v>
      </c>
      <c r="B1" s="20"/>
      <c r="C1" s="19"/>
      <c r="D1" s="19"/>
      <c r="E1" s="21"/>
      <c r="F1" s="22"/>
      <c r="G1" s="22"/>
      <c r="H1" s="22"/>
      <c r="I1" s="22"/>
      <c r="J1" s="22"/>
      <c r="K1" s="22"/>
      <c r="L1" s="22"/>
      <c r="M1" s="22"/>
      <c r="N1" s="22"/>
      <c r="O1" s="22"/>
      <c r="P1" s="22"/>
      <c r="Q1" s="22"/>
      <c r="R1" s="22"/>
      <c r="S1" s="22"/>
      <c r="T1" s="22"/>
      <c r="U1" s="22"/>
      <c r="V1" s="22"/>
      <c r="W1" s="22"/>
      <c r="X1" s="22"/>
      <c r="Y1" s="22"/>
      <c r="Z1" s="22"/>
      <c r="AA1" s="22"/>
    </row>
    <row r="2" ht="22.5" customHeight="1">
      <c r="A2" s="23" t="s">
        <v>215</v>
      </c>
      <c r="B2" s="24"/>
      <c r="C2" s="25"/>
      <c r="D2" s="25"/>
      <c r="E2" s="26"/>
      <c r="F2" s="25"/>
      <c r="G2" s="25"/>
      <c r="H2" s="25"/>
      <c r="I2" s="25"/>
      <c r="J2" s="25"/>
      <c r="K2" s="25"/>
      <c r="L2" s="25"/>
      <c r="M2" s="25"/>
      <c r="N2" s="25"/>
      <c r="O2" s="25"/>
      <c r="P2" s="25"/>
      <c r="Q2" s="25"/>
      <c r="R2" s="25"/>
      <c r="S2" s="25"/>
      <c r="T2" s="25"/>
      <c r="U2" s="25"/>
      <c r="V2" s="25"/>
      <c r="W2" s="25"/>
      <c r="X2" s="25"/>
      <c r="Y2" s="25"/>
      <c r="Z2" s="25"/>
      <c r="AA2" s="25"/>
    </row>
    <row r="3" ht="12.75" customHeight="1">
      <c r="A3" s="27"/>
      <c r="E3" s="28"/>
      <c r="F3" s="29"/>
      <c r="G3" s="29"/>
      <c r="H3" s="29"/>
      <c r="I3" s="29"/>
      <c r="J3" s="29"/>
      <c r="K3" s="29"/>
      <c r="L3" s="29"/>
      <c r="M3" s="29"/>
      <c r="N3" s="29"/>
      <c r="O3" s="29"/>
      <c r="P3" s="29"/>
      <c r="Q3" s="29"/>
      <c r="R3" s="29"/>
      <c r="S3" s="29"/>
      <c r="T3" s="29"/>
      <c r="U3" s="29"/>
      <c r="V3" s="29"/>
      <c r="W3" s="29"/>
      <c r="X3" s="29"/>
      <c r="Y3" s="29"/>
      <c r="Z3" s="29"/>
      <c r="AA3" s="29"/>
    </row>
    <row r="4" ht="33.75" customHeight="1">
      <c r="A4" s="30" t="s">
        <v>216</v>
      </c>
      <c r="B4" s="31"/>
      <c r="C4" s="31"/>
      <c r="D4" s="32"/>
      <c r="E4" s="33"/>
      <c r="F4" s="34"/>
      <c r="G4" s="34"/>
      <c r="H4" s="34"/>
      <c r="I4" s="35"/>
      <c r="J4" s="35"/>
      <c r="K4" s="35"/>
      <c r="L4" s="35"/>
      <c r="M4" s="35"/>
      <c r="N4" s="35"/>
      <c r="O4" s="35"/>
      <c r="P4" s="35"/>
      <c r="Q4" s="35"/>
      <c r="R4" s="35"/>
      <c r="S4" s="35"/>
      <c r="T4" s="35"/>
      <c r="U4" s="35"/>
      <c r="V4" s="35"/>
      <c r="W4" s="35"/>
      <c r="X4" s="35"/>
      <c r="Y4" s="35"/>
      <c r="Z4" s="35"/>
      <c r="AA4" s="35"/>
    </row>
    <row r="5" ht="21.75" customHeight="1">
      <c r="A5" s="36" t="s">
        <v>217</v>
      </c>
      <c r="B5" s="37">
        <v>1300000.0</v>
      </c>
      <c r="C5" s="38"/>
      <c r="D5" s="32"/>
      <c r="E5" s="39"/>
      <c r="F5" s="40"/>
      <c r="G5" s="40"/>
      <c r="H5" s="40"/>
      <c r="I5" s="41"/>
      <c r="J5" s="41"/>
      <c r="K5" s="41"/>
      <c r="L5" s="41"/>
      <c r="M5" s="41"/>
      <c r="N5" s="41"/>
      <c r="O5" s="41"/>
      <c r="P5" s="41"/>
      <c r="Q5" s="41"/>
      <c r="R5" s="41"/>
      <c r="S5" s="41"/>
      <c r="T5" s="41"/>
      <c r="U5" s="41"/>
      <c r="V5" s="41"/>
      <c r="W5" s="41"/>
      <c r="X5" s="41"/>
      <c r="Y5" s="41"/>
      <c r="Z5" s="41"/>
      <c r="AA5" s="41"/>
    </row>
    <row r="6" ht="21.75" customHeight="1">
      <c r="A6" s="42" t="s">
        <v>218</v>
      </c>
      <c r="B6" s="43">
        <v>1416.0</v>
      </c>
      <c r="C6" s="44" t="s">
        <v>219</v>
      </c>
      <c r="D6" s="32"/>
      <c r="E6" s="39"/>
      <c r="F6" s="40"/>
      <c r="G6" s="40"/>
      <c r="H6" s="40"/>
      <c r="I6" s="41"/>
      <c r="J6" s="41"/>
      <c r="K6" s="41"/>
      <c r="L6" s="41"/>
      <c r="M6" s="41"/>
      <c r="N6" s="41"/>
      <c r="O6" s="41"/>
      <c r="P6" s="41"/>
      <c r="Q6" s="41"/>
      <c r="R6" s="41"/>
      <c r="S6" s="41"/>
      <c r="T6" s="41"/>
      <c r="U6" s="41"/>
      <c r="V6" s="41"/>
      <c r="W6" s="41"/>
      <c r="X6" s="41"/>
      <c r="Y6" s="41"/>
      <c r="Z6" s="41"/>
      <c r="AA6" s="41"/>
    </row>
    <row r="7" ht="21.75" customHeight="1">
      <c r="A7" s="36" t="s">
        <v>220</v>
      </c>
      <c r="B7" s="45">
        <f>B5/B6</f>
        <v>918.079096</v>
      </c>
      <c r="C7" s="46" t="s">
        <v>221</v>
      </c>
      <c r="D7" s="32"/>
      <c r="E7" s="39"/>
      <c r="F7" s="40"/>
      <c r="G7" s="40"/>
      <c r="H7" s="40"/>
      <c r="I7" s="41"/>
      <c r="J7" s="41"/>
      <c r="K7" s="41"/>
      <c r="L7" s="41"/>
      <c r="M7" s="41"/>
      <c r="N7" s="41"/>
      <c r="O7" s="41"/>
      <c r="P7" s="41"/>
      <c r="Q7" s="41"/>
      <c r="R7" s="41"/>
      <c r="S7" s="41"/>
      <c r="T7" s="41"/>
      <c r="U7" s="41"/>
      <c r="V7" s="41"/>
      <c r="W7" s="41"/>
      <c r="X7" s="41"/>
      <c r="Y7" s="41"/>
      <c r="Z7" s="41"/>
      <c r="AA7" s="41"/>
    </row>
    <row r="8" ht="21.75" customHeight="1">
      <c r="A8" s="42" t="s">
        <v>222</v>
      </c>
      <c r="B8" s="47">
        <v>0.04</v>
      </c>
      <c r="C8" s="48"/>
      <c r="D8" s="32"/>
      <c r="E8" s="39"/>
      <c r="F8" s="40"/>
      <c r="G8" s="40"/>
      <c r="H8" s="40"/>
      <c r="I8" s="41"/>
      <c r="J8" s="41"/>
      <c r="K8" s="41"/>
      <c r="L8" s="41"/>
      <c r="M8" s="41"/>
      <c r="N8" s="41"/>
      <c r="O8" s="41"/>
      <c r="P8" s="41"/>
      <c r="Q8" s="41"/>
      <c r="R8" s="41"/>
      <c r="S8" s="41"/>
      <c r="T8" s="41"/>
      <c r="U8" s="41"/>
      <c r="V8" s="41"/>
      <c r="W8" s="41"/>
      <c r="X8" s="41"/>
      <c r="Y8" s="41"/>
      <c r="Z8" s="41"/>
      <c r="AA8" s="41"/>
    </row>
    <row r="9" ht="21.75" customHeight="1">
      <c r="A9" s="36" t="s">
        <v>223</v>
      </c>
      <c r="B9" s="49">
        <v>0.03</v>
      </c>
      <c r="C9" s="50"/>
      <c r="D9" s="32"/>
      <c r="E9" s="39"/>
      <c r="F9" s="40"/>
      <c r="G9" s="40"/>
      <c r="H9" s="40"/>
      <c r="I9" s="41"/>
      <c r="J9" s="41"/>
      <c r="K9" s="41"/>
      <c r="L9" s="41"/>
      <c r="M9" s="41"/>
      <c r="N9" s="41"/>
      <c r="O9" s="41"/>
      <c r="P9" s="41"/>
      <c r="Q9" s="41"/>
      <c r="R9" s="41"/>
      <c r="S9" s="41"/>
      <c r="T9" s="41"/>
      <c r="U9" s="41"/>
      <c r="V9" s="41"/>
      <c r="W9" s="41"/>
      <c r="X9" s="41"/>
      <c r="Y9" s="41"/>
      <c r="Z9" s="41"/>
      <c r="AA9" s="41"/>
    </row>
    <row r="10" ht="21.75" customHeight="1">
      <c r="A10" s="42" t="s">
        <v>224</v>
      </c>
      <c r="B10" s="51">
        <v>40000.0</v>
      </c>
      <c r="C10" s="44" t="s">
        <v>225</v>
      </c>
      <c r="D10" s="32"/>
      <c r="E10" s="39"/>
      <c r="F10" s="40"/>
      <c r="G10" s="40"/>
      <c r="H10" s="40"/>
      <c r="I10" s="41"/>
      <c r="J10" s="41"/>
      <c r="K10" s="41"/>
      <c r="L10" s="41"/>
      <c r="M10" s="41"/>
      <c r="N10" s="41"/>
      <c r="O10" s="41"/>
      <c r="P10" s="41"/>
      <c r="Q10" s="41"/>
      <c r="R10" s="41"/>
      <c r="S10" s="41"/>
      <c r="T10" s="41"/>
      <c r="U10" s="41"/>
      <c r="V10" s="41"/>
      <c r="W10" s="41"/>
      <c r="X10" s="41"/>
      <c r="Y10" s="41"/>
      <c r="Z10" s="41"/>
      <c r="AA10" s="41"/>
    </row>
    <row r="11" ht="21.75" customHeight="1">
      <c r="A11" s="52" t="s">
        <v>226</v>
      </c>
      <c r="B11" s="53">
        <f>B5*(1+B8+B9)+B10</f>
        <v>1431000</v>
      </c>
      <c r="C11" s="50"/>
      <c r="D11" s="32"/>
      <c r="E11" s="39"/>
      <c r="F11" s="40"/>
      <c r="G11" s="40"/>
      <c r="H11" s="40"/>
      <c r="I11" s="41"/>
      <c r="J11" s="41"/>
      <c r="K11" s="41"/>
      <c r="L11" s="41"/>
      <c r="M11" s="41"/>
      <c r="N11" s="41"/>
      <c r="O11" s="41"/>
      <c r="P11" s="41"/>
      <c r="Q11" s="41"/>
      <c r="R11" s="41"/>
      <c r="S11" s="41"/>
      <c r="T11" s="41"/>
      <c r="U11" s="41"/>
      <c r="V11" s="41"/>
      <c r="W11" s="41"/>
      <c r="X11" s="41"/>
      <c r="Y11" s="41"/>
      <c r="Z11" s="41"/>
      <c r="AA11" s="41"/>
    </row>
    <row r="12" ht="33.75" customHeight="1">
      <c r="A12" s="30" t="s">
        <v>227</v>
      </c>
      <c r="B12" s="31"/>
      <c r="C12" s="31"/>
      <c r="D12" s="32"/>
      <c r="E12" s="33"/>
      <c r="F12" s="34"/>
      <c r="G12" s="34"/>
      <c r="H12" s="34"/>
      <c r="I12" s="35"/>
      <c r="J12" s="35"/>
      <c r="K12" s="35"/>
      <c r="L12" s="35"/>
      <c r="M12" s="35"/>
      <c r="N12" s="35"/>
      <c r="O12" s="35"/>
      <c r="P12" s="35"/>
      <c r="Q12" s="35"/>
      <c r="R12" s="35"/>
      <c r="S12" s="35"/>
      <c r="T12" s="35"/>
      <c r="U12" s="35"/>
      <c r="V12" s="35"/>
      <c r="W12" s="35"/>
      <c r="X12" s="35"/>
      <c r="Y12" s="35"/>
      <c r="Z12" s="35"/>
      <c r="AA12" s="35"/>
    </row>
    <row r="13" ht="21.75" customHeight="1">
      <c r="A13" s="36" t="s">
        <v>228</v>
      </c>
      <c r="B13" s="54">
        <v>1050.0</v>
      </c>
      <c r="C13" s="38" t="s">
        <v>229</v>
      </c>
      <c r="D13" s="32"/>
      <c r="E13" s="39"/>
      <c r="F13" s="40"/>
      <c r="G13" s="40"/>
      <c r="H13" s="40"/>
      <c r="I13" s="41"/>
      <c r="J13" s="41"/>
      <c r="K13" s="41"/>
      <c r="L13" s="41"/>
      <c r="M13" s="41"/>
      <c r="N13" s="41"/>
      <c r="O13" s="41"/>
      <c r="P13" s="41"/>
      <c r="Q13" s="41"/>
      <c r="R13" s="41"/>
      <c r="S13" s="41"/>
      <c r="T13" s="41"/>
      <c r="U13" s="41"/>
      <c r="V13" s="41"/>
      <c r="W13" s="41"/>
      <c r="X13" s="41"/>
      <c r="Y13" s="41"/>
      <c r="Z13" s="41"/>
      <c r="AA13" s="41"/>
    </row>
    <row r="14" ht="21.75" customHeight="1">
      <c r="A14" s="42" t="s">
        <v>230</v>
      </c>
      <c r="B14" s="51">
        <v>1000.0</v>
      </c>
      <c r="C14" s="44" t="s">
        <v>231</v>
      </c>
      <c r="D14" s="32"/>
      <c r="E14" s="39"/>
      <c r="F14" s="40"/>
      <c r="G14" s="40"/>
      <c r="H14" s="40"/>
      <c r="I14" s="41"/>
      <c r="J14" s="41"/>
      <c r="K14" s="41"/>
      <c r="L14" s="41"/>
      <c r="M14" s="41"/>
      <c r="N14" s="41"/>
      <c r="O14" s="41"/>
      <c r="P14" s="41"/>
      <c r="Q14" s="41"/>
      <c r="R14" s="41"/>
      <c r="S14" s="41"/>
      <c r="T14" s="41"/>
      <c r="U14" s="41"/>
      <c r="V14" s="41"/>
      <c r="W14" s="41"/>
      <c r="X14" s="41"/>
      <c r="Y14" s="41"/>
      <c r="Z14" s="41"/>
      <c r="AA14" s="41"/>
    </row>
    <row r="15" ht="21.75" customHeight="1">
      <c r="A15" s="36" t="s">
        <v>232</v>
      </c>
      <c r="B15" s="49">
        <v>0.15</v>
      </c>
      <c r="C15" s="38" t="s">
        <v>233</v>
      </c>
      <c r="D15" s="32"/>
      <c r="E15" s="39"/>
      <c r="F15" s="40"/>
      <c r="G15" s="40"/>
      <c r="H15" s="40"/>
      <c r="I15" s="41"/>
      <c r="J15" s="41"/>
      <c r="K15" s="41"/>
      <c r="L15" s="41"/>
      <c r="M15" s="41"/>
      <c r="N15" s="41"/>
      <c r="O15" s="41"/>
      <c r="P15" s="41"/>
      <c r="Q15" s="41"/>
      <c r="R15" s="41"/>
      <c r="S15" s="41"/>
      <c r="T15" s="41"/>
      <c r="U15" s="41"/>
      <c r="V15" s="41"/>
      <c r="W15" s="41"/>
      <c r="X15" s="41"/>
      <c r="Y15" s="41"/>
      <c r="Z15" s="41"/>
      <c r="AA15" s="41"/>
    </row>
    <row r="16" ht="21.75" customHeight="1">
      <c r="A16" s="55" t="s">
        <v>234</v>
      </c>
      <c r="B16" s="56">
        <f>B13*B14*(1+B15)</f>
        <v>1207500</v>
      </c>
      <c r="C16" s="57" t="s">
        <v>235</v>
      </c>
      <c r="D16" s="32"/>
      <c r="E16" s="39"/>
      <c r="F16" s="40"/>
      <c r="G16" s="40"/>
      <c r="H16" s="40"/>
      <c r="I16" s="41"/>
      <c r="J16" s="41"/>
      <c r="K16" s="41"/>
      <c r="L16" s="41"/>
      <c r="M16" s="41"/>
      <c r="N16" s="41"/>
      <c r="O16" s="41"/>
      <c r="P16" s="41"/>
      <c r="Q16" s="41"/>
      <c r="R16" s="41"/>
      <c r="S16" s="41"/>
      <c r="T16" s="41"/>
      <c r="U16" s="41"/>
      <c r="V16" s="41"/>
      <c r="W16" s="41"/>
      <c r="X16" s="41"/>
      <c r="Y16" s="41"/>
      <c r="Z16" s="41"/>
      <c r="AA16" s="41"/>
    </row>
    <row r="17" ht="33.75" customHeight="1">
      <c r="A17" s="30" t="s">
        <v>236</v>
      </c>
      <c r="B17" s="31"/>
      <c r="C17" s="31"/>
      <c r="D17" s="32"/>
      <c r="E17" s="33"/>
      <c r="F17" s="34"/>
      <c r="G17" s="34"/>
      <c r="H17" s="34"/>
      <c r="I17" s="35"/>
      <c r="J17" s="35"/>
      <c r="K17" s="35"/>
      <c r="L17" s="35"/>
      <c r="M17" s="35"/>
      <c r="N17" s="35"/>
      <c r="O17" s="35"/>
      <c r="P17" s="35"/>
      <c r="Q17" s="35"/>
      <c r="R17" s="35"/>
      <c r="S17" s="35"/>
      <c r="T17" s="35"/>
      <c r="U17" s="35"/>
      <c r="V17" s="35"/>
      <c r="W17" s="35"/>
      <c r="X17" s="35"/>
      <c r="Y17" s="35"/>
      <c r="Z17" s="35"/>
      <c r="AA17" s="35"/>
    </row>
    <row r="18" ht="31.5" customHeight="1">
      <c r="A18" s="58" t="s">
        <v>237</v>
      </c>
      <c r="B18" s="56">
        <f>B11+B16</f>
        <v>2638500</v>
      </c>
      <c r="C18" s="48"/>
      <c r="D18" s="32"/>
      <c r="E18" s="39"/>
      <c r="F18" s="40"/>
      <c r="G18" s="40"/>
      <c r="H18" s="40"/>
      <c r="I18" s="41"/>
      <c r="J18" s="41"/>
      <c r="K18" s="41"/>
      <c r="L18" s="41"/>
      <c r="M18" s="41"/>
      <c r="N18" s="41"/>
      <c r="O18" s="41"/>
      <c r="P18" s="41"/>
      <c r="Q18" s="41"/>
      <c r="R18" s="41"/>
      <c r="S18" s="41"/>
      <c r="T18" s="41"/>
      <c r="U18" s="41"/>
      <c r="V18" s="41"/>
      <c r="W18" s="41"/>
      <c r="X18" s="41"/>
      <c r="Y18" s="41"/>
      <c r="Z18" s="41"/>
      <c r="AA18" s="41"/>
    </row>
    <row r="19" ht="33.75" customHeight="1">
      <c r="A19" s="30" t="s">
        <v>238</v>
      </c>
      <c r="B19" s="31"/>
      <c r="C19" s="31"/>
      <c r="D19" s="32"/>
      <c r="E19" s="33"/>
      <c r="F19" s="34"/>
      <c r="G19" s="34"/>
      <c r="H19" s="34"/>
      <c r="I19" s="35"/>
      <c r="J19" s="35"/>
      <c r="K19" s="35"/>
      <c r="L19" s="35"/>
      <c r="M19" s="35"/>
      <c r="N19" s="35"/>
      <c r="O19" s="35"/>
      <c r="P19" s="35"/>
      <c r="Q19" s="35"/>
      <c r="R19" s="35"/>
      <c r="S19" s="35"/>
      <c r="T19" s="35"/>
      <c r="U19" s="35"/>
      <c r="V19" s="35"/>
      <c r="W19" s="35"/>
      <c r="X19" s="35"/>
      <c r="Y19" s="35"/>
      <c r="Z19" s="35"/>
      <c r="AA19" s="35"/>
    </row>
    <row r="20" ht="21.75" customHeight="1">
      <c r="A20" s="36" t="s">
        <v>239</v>
      </c>
      <c r="B20" s="54">
        <v>24.0</v>
      </c>
      <c r="C20" s="38" t="s">
        <v>240</v>
      </c>
      <c r="D20" s="32"/>
      <c r="E20" s="39"/>
      <c r="F20" s="40"/>
      <c r="G20" s="40"/>
      <c r="H20" s="40"/>
      <c r="I20" s="41"/>
      <c r="J20" s="41"/>
      <c r="K20" s="41"/>
      <c r="L20" s="41"/>
      <c r="M20" s="41"/>
      <c r="N20" s="41"/>
      <c r="O20" s="41"/>
      <c r="P20" s="41"/>
      <c r="Q20" s="41"/>
      <c r="R20" s="41"/>
      <c r="S20" s="41"/>
      <c r="T20" s="41"/>
      <c r="U20" s="41"/>
      <c r="V20" s="41"/>
      <c r="W20" s="41"/>
      <c r="X20" s="41"/>
      <c r="Y20" s="41"/>
      <c r="Z20" s="41"/>
      <c r="AA20" s="41"/>
    </row>
    <row r="21" ht="21.75" customHeight="1">
      <c r="A21" s="42" t="s">
        <v>241</v>
      </c>
      <c r="B21" s="59">
        <v>150.0</v>
      </c>
      <c r="C21" s="57" t="s">
        <v>242</v>
      </c>
      <c r="D21" s="32"/>
      <c r="E21" s="39"/>
      <c r="F21" s="40"/>
      <c r="G21" s="40"/>
      <c r="H21" s="40"/>
      <c r="I21" s="41"/>
      <c r="J21" s="41"/>
      <c r="K21" s="41"/>
      <c r="L21" s="41"/>
      <c r="M21" s="41"/>
      <c r="N21" s="41"/>
      <c r="O21" s="41"/>
      <c r="P21" s="41"/>
      <c r="Q21" s="41"/>
      <c r="R21" s="41"/>
      <c r="S21" s="41"/>
      <c r="T21" s="41"/>
      <c r="U21" s="41"/>
      <c r="V21" s="41"/>
      <c r="W21" s="41"/>
      <c r="X21" s="41"/>
      <c r="Y21" s="41"/>
      <c r="Z21" s="41"/>
      <c r="AA21" s="41"/>
    </row>
    <row r="22" ht="21.75" customHeight="1">
      <c r="A22" s="36" t="s">
        <v>243</v>
      </c>
      <c r="B22" s="49">
        <v>0.7</v>
      </c>
      <c r="C22" s="38" t="s">
        <v>244</v>
      </c>
      <c r="D22" s="32"/>
      <c r="E22" s="39"/>
      <c r="F22" s="40"/>
      <c r="G22" s="40"/>
      <c r="H22" s="40"/>
      <c r="I22" s="41"/>
      <c r="J22" s="41"/>
      <c r="K22" s="41"/>
      <c r="L22" s="41"/>
      <c r="M22" s="41"/>
      <c r="N22" s="41"/>
      <c r="O22" s="41"/>
      <c r="P22" s="41"/>
      <c r="Q22" s="41"/>
      <c r="R22" s="41"/>
      <c r="S22" s="41"/>
      <c r="T22" s="41"/>
      <c r="U22" s="41"/>
      <c r="V22" s="41"/>
      <c r="W22" s="41"/>
      <c r="X22" s="41"/>
      <c r="Y22" s="41"/>
      <c r="Z22" s="41"/>
      <c r="AA22" s="41"/>
    </row>
    <row r="23" ht="21.75" customHeight="1">
      <c r="A23" s="42" t="s">
        <v>245</v>
      </c>
      <c r="B23" s="43">
        <v>365.0</v>
      </c>
      <c r="C23" s="48"/>
      <c r="D23" s="32"/>
      <c r="E23" s="39"/>
      <c r="F23" s="40"/>
      <c r="G23" s="40"/>
      <c r="H23" s="40"/>
      <c r="I23" s="41"/>
      <c r="J23" s="41"/>
      <c r="K23" s="41"/>
      <c r="L23" s="41"/>
      <c r="M23" s="41"/>
      <c r="N23" s="41"/>
      <c r="O23" s="41"/>
      <c r="P23" s="41"/>
      <c r="Q23" s="41"/>
      <c r="R23" s="41"/>
      <c r="S23" s="41"/>
      <c r="T23" s="41"/>
      <c r="U23" s="41"/>
      <c r="V23" s="41"/>
      <c r="W23" s="41"/>
      <c r="X23" s="41"/>
      <c r="Y23" s="41"/>
      <c r="Z23" s="41"/>
      <c r="AA23" s="41"/>
    </row>
    <row r="24" ht="21.75" customHeight="1">
      <c r="A24" s="36" t="s">
        <v>246</v>
      </c>
      <c r="B24" s="60">
        <f>B20*B21*B22*B23</f>
        <v>919800</v>
      </c>
      <c r="C24" s="50"/>
      <c r="D24" s="32"/>
      <c r="E24" s="39"/>
      <c r="F24" s="40"/>
      <c r="G24" s="40"/>
      <c r="H24" s="40"/>
      <c r="I24" s="41"/>
      <c r="J24" s="41"/>
      <c r="K24" s="41"/>
      <c r="L24" s="41"/>
      <c r="M24" s="41"/>
      <c r="N24" s="41"/>
      <c r="O24" s="41"/>
      <c r="P24" s="41"/>
      <c r="Q24" s="41"/>
      <c r="R24" s="41"/>
      <c r="S24" s="41"/>
      <c r="T24" s="41"/>
      <c r="U24" s="41"/>
      <c r="V24" s="41"/>
      <c r="W24" s="41"/>
      <c r="X24" s="41"/>
      <c r="Y24" s="41"/>
      <c r="Z24" s="41"/>
      <c r="AA24" s="41"/>
    </row>
    <row r="25" ht="21.75" customHeight="1">
      <c r="A25" s="42" t="s">
        <v>247</v>
      </c>
      <c r="B25" s="59">
        <v>2500.0</v>
      </c>
      <c r="C25" s="44" t="s">
        <v>248</v>
      </c>
      <c r="D25" s="32"/>
      <c r="E25" s="39"/>
      <c r="F25" s="40"/>
      <c r="G25" s="40"/>
      <c r="H25" s="40"/>
      <c r="I25" s="41"/>
      <c r="J25" s="41"/>
      <c r="K25" s="41"/>
      <c r="L25" s="41"/>
      <c r="M25" s="41"/>
      <c r="N25" s="41"/>
      <c r="O25" s="41"/>
      <c r="P25" s="41"/>
      <c r="Q25" s="41"/>
      <c r="R25" s="41"/>
      <c r="S25" s="41"/>
      <c r="T25" s="41"/>
      <c r="U25" s="41"/>
      <c r="V25" s="41"/>
      <c r="W25" s="41"/>
      <c r="X25" s="41"/>
      <c r="Y25" s="41"/>
      <c r="Z25" s="41"/>
      <c r="AA25" s="41"/>
    </row>
    <row r="26" ht="21.75" customHeight="1">
      <c r="A26" s="36" t="s">
        <v>249</v>
      </c>
      <c r="B26" s="60">
        <f>B25*12</f>
        <v>30000</v>
      </c>
      <c r="C26" s="50"/>
      <c r="D26" s="32"/>
      <c r="E26" s="39"/>
      <c r="F26" s="40"/>
      <c r="G26" s="40"/>
      <c r="H26" s="40"/>
      <c r="I26" s="41"/>
      <c r="J26" s="41"/>
      <c r="K26" s="41"/>
      <c r="L26" s="41"/>
      <c r="M26" s="41"/>
      <c r="N26" s="41"/>
      <c r="O26" s="41"/>
      <c r="P26" s="41"/>
      <c r="Q26" s="41"/>
      <c r="R26" s="41"/>
      <c r="S26" s="41"/>
      <c r="T26" s="41"/>
      <c r="U26" s="41"/>
      <c r="V26" s="41"/>
      <c r="W26" s="41"/>
      <c r="X26" s="41"/>
      <c r="Y26" s="41"/>
      <c r="Z26" s="41"/>
      <c r="AA26" s="41"/>
    </row>
    <row r="27" ht="21.75" customHeight="1">
      <c r="A27" s="55" t="s">
        <v>250</v>
      </c>
      <c r="B27" s="56">
        <f>B24+B26</f>
        <v>949800</v>
      </c>
      <c r="C27" s="48"/>
      <c r="D27" s="32"/>
      <c r="E27" s="39"/>
      <c r="F27" s="40"/>
      <c r="G27" s="40"/>
      <c r="H27" s="40"/>
      <c r="I27" s="41"/>
      <c r="J27" s="41"/>
      <c r="K27" s="41"/>
      <c r="L27" s="41"/>
      <c r="M27" s="41"/>
      <c r="N27" s="41"/>
      <c r="O27" s="41"/>
      <c r="P27" s="41"/>
      <c r="Q27" s="41"/>
      <c r="R27" s="41"/>
      <c r="S27" s="41"/>
      <c r="T27" s="41"/>
      <c r="U27" s="41"/>
      <c r="V27" s="41"/>
      <c r="W27" s="41"/>
      <c r="X27" s="41"/>
      <c r="Y27" s="41"/>
      <c r="Z27" s="41"/>
      <c r="AA27" s="41"/>
    </row>
    <row r="28" ht="33.75" customHeight="1">
      <c r="A28" s="30" t="s">
        <v>251</v>
      </c>
      <c r="B28" s="31"/>
      <c r="C28" s="31"/>
      <c r="D28" s="32"/>
      <c r="E28" s="39"/>
      <c r="F28" s="40"/>
      <c r="G28" s="40"/>
      <c r="H28" s="40"/>
      <c r="I28" s="41"/>
      <c r="J28" s="41"/>
      <c r="K28" s="41"/>
      <c r="L28" s="41"/>
      <c r="M28" s="41"/>
      <c r="N28" s="41"/>
      <c r="O28" s="41"/>
      <c r="P28" s="41"/>
      <c r="Q28" s="41"/>
      <c r="R28" s="41"/>
      <c r="S28" s="41"/>
      <c r="T28" s="41"/>
      <c r="U28" s="41"/>
      <c r="V28" s="41"/>
      <c r="W28" s="41"/>
      <c r="X28" s="41"/>
      <c r="Y28" s="41"/>
      <c r="Z28" s="41"/>
      <c r="AA28" s="41"/>
    </row>
    <row r="29" ht="21.75" customHeight="1">
      <c r="A29" s="61" t="s">
        <v>252</v>
      </c>
      <c r="B29" s="51">
        <v>100000.0</v>
      </c>
      <c r="C29" s="44" t="s">
        <v>253</v>
      </c>
      <c r="D29" s="32"/>
      <c r="E29" s="39"/>
      <c r="F29" s="40"/>
      <c r="G29" s="40"/>
      <c r="H29" s="40"/>
      <c r="I29" s="41"/>
      <c r="J29" s="41"/>
      <c r="K29" s="41"/>
      <c r="L29" s="41"/>
      <c r="M29" s="41"/>
      <c r="N29" s="41"/>
      <c r="O29" s="41"/>
      <c r="P29" s="41"/>
      <c r="Q29" s="41"/>
      <c r="R29" s="41"/>
      <c r="S29" s="41"/>
      <c r="T29" s="41"/>
      <c r="U29" s="41"/>
      <c r="V29" s="41"/>
      <c r="W29" s="41"/>
      <c r="X29" s="41"/>
      <c r="Y29" s="41"/>
      <c r="Z29" s="41"/>
      <c r="AA29" s="41"/>
    </row>
    <row r="30" ht="21.75" customHeight="1">
      <c r="A30" s="36" t="s">
        <v>254</v>
      </c>
      <c r="B30" s="37">
        <v>40000.0</v>
      </c>
      <c r="C30" s="50"/>
      <c r="D30" s="32"/>
      <c r="E30" s="39"/>
      <c r="F30" s="40"/>
      <c r="G30" s="40"/>
      <c r="H30" s="40"/>
      <c r="I30" s="41"/>
      <c r="J30" s="41"/>
      <c r="K30" s="41"/>
      <c r="L30" s="41"/>
      <c r="M30" s="41"/>
      <c r="N30" s="41"/>
      <c r="O30" s="41"/>
      <c r="P30" s="41"/>
      <c r="Q30" s="41"/>
      <c r="R30" s="41"/>
      <c r="S30" s="41"/>
      <c r="T30" s="41"/>
      <c r="U30" s="41"/>
      <c r="V30" s="41"/>
      <c r="W30" s="41"/>
      <c r="X30" s="41"/>
      <c r="Y30" s="41"/>
      <c r="Z30" s="41"/>
      <c r="AA30" s="41"/>
    </row>
    <row r="31" ht="21.75" customHeight="1">
      <c r="A31" s="61" t="s">
        <v>255</v>
      </c>
      <c r="B31" s="51">
        <v>20000.0</v>
      </c>
      <c r="C31" s="48"/>
      <c r="D31" s="32"/>
      <c r="E31" s="39"/>
      <c r="F31" s="40"/>
      <c r="G31" s="40"/>
      <c r="H31" s="40"/>
      <c r="I31" s="41"/>
      <c r="J31" s="41"/>
      <c r="K31" s="41"/>
      <c r="L31" s="41"/>
      <c r="M31" s="41"/>
      <c r="N31" s="41"/>
      <c r="O31" s="41"/>
      <c r="P31" s="41"/>
      <c r="Q31" s="41"/>
      <c r="R31" s="41"/>
      <c r="S31" s="41"/>
      <c r="T31" s="41"/>
      <c r="U31" s="41"/>
      <c r="V31" s="41"/>
      <c r="W31" s="41"/>
      <c r="X31" s="41"/>
      <c r="Y31" s="41"/>
      <c r="Z31" s="41"/>
      <c r="AA31" s="41"/>
    </row>
    <row r="32" ht="21.75" customHeight="1">
      <c r="A32" s="36" t="s">
        <v>256</v>
      </c>
      <c r="B32" s="49">
        <v>0.1</v>
      </c>
      <c r="C32" s="38" t="s">
        <v>257</v>
      </c>
      <c r="D32" s="32"/>
      <c r="E32" s="39"/>
      <c r="F32" s="40"/>
      <c r="G32" s="40"/>
      <c r="H32" s="40"/>
      <c r="I32" s="41"/>
      <c r="J32" s="41"/>
      <c r="K32" s="41"/>
      <c r="L32" s="41"/>
      <c r="M32" s="41"/>
      <c r="N32" s="41"/>
      <c r="O32" s="41"/>
      <c r="P32" s="41"/>
      <c r="Q32" s="41"/>
      <c r="R32" s="41"/>
      <c r="S32" s="41"/>
      <c r="T32" s="41"/>
      <c r="U32" s="41"/>
      <c r="V32" s="41"/>
      <c r="W32" s="41"/>
      <c r="X32" s="41"/>
      <c r="Y32" s="41"/>
      <c r="Z32" s="41"/>
      <c r="AA32" s="41"/>
    </row>
    <row r="33" ht="21.75" customHeight="1">
      <c r="A33" s="42" t="s">
        <v>258</v>
      </c>
      <c r="B33" s="47">
        <v>0.05</v>
      </c>
      <c r="C33" s="44" t="s">
        <v>259</v>
      </c>
      <c r="D33" s="32"/>
      <c r="E33" s="39"/>
      <c r="F33" s="40"/>
      <c r="G33" s="40"/>
      <c r="H33" s="40"/>
      <c r="I33" s="41"/>
      <c r="J33" s="41"/>
      <c r="K33" s="41"/>
      <c r="L33" s="41"/>
      <c r="M33" s="41"/>
      <c r="N33" s="41"/>
      <c r="O33" s="41"/>
      <c r="P33" s="41"/>
      <c r="Q33" s="41"/>
      <c r="R33" s="41"/>
      <c r="S33" s="41"/>
      <c r="T33" s="41"/>
      <c r="U33" s="41"/>
      <c r="V33" s="41"/>
      <c r="W33" s="41"/>
      <c r="X33" s="41"/>
      <c r="Y33" s="41"/>
      <c r="Z33" s="41"/>
      <c r="AA33" s="41"/>
    </row>
    <row r="34" ht="21.75" customHeight="1">
      <c r="A34" s="52" t="s">
        <v>260</v>
      </c>
      <c r="B34" s="53">
        <f>B29+B30+B31+B27*B32+B27*B33</f>
        <v>302470</v>
      </c>
      <c r="C34" s="50"/>
      <c r="D34" s="32"/>
      <c r="E34" s="39"/>
      <c r="F34" s="40"/>
      <c r="G34" s="40"/>
      <c r="H34" s="40"/>
      <c r="I34" s="41"/>
      <c r="J34" s="41"/>
      <c r="K34" s="41"/>
      <c r="L34" s="41"/>
      <c r="M34" s="41"/>
      <c r="N34" s="41"/>
      <c r="O34" s="41"/>
      <c r="P34" s="41"/>
      <c r="Q34" s="41"/>
      <c r="R34" s="41"/>
      <c r="S34" s="41"/>
      <c r="T34" s="41"/>
      <c r="U34" s="41"/>
      <c r="V34" s="41"/>
      <c r="W34" s="41"/>
      <c r="X34" s="41"/>
      <c r="Y34" s="41"/>
      <c r="Z34" s="41"/>
      <c r="AA34" s="41"/>
    </row>
    <row r="35" ht="33.75" customHeight="1">
      <c r="A35" s="62" t="s">
        <v>261</v>
      </c>
      <c r="B35" s="31"/>
      <c r="C35" s="31"/>
      <c r="D35" s="32"/>
      <c r="E35" s="39"/>
      <c r="F35" s="40"/>
      <c r="G35" s="40"/>
      <c r="H35" s="40"/>
      <c r="I35" s="41"/>
      <c r="J35" s="41"/>
      <c r="K35" s="41"/>
      <c r="L35" s="41"/>
      <c r="M35" s="41"/>
      <c r="N35" s="41"/>
      <c r="O35" s="41"/>
      <c r="P35" s="41"/>
      <c r="Q35" s="41"/>
      <c r="R35" s="41"/>
      <c r="S35" s="41"/>
      <c r="T35" s="41"/>
      <c r="U35" s="41"/>
      <c r="V35" s="41"/>
      <c r="W35" s="41"/>
      <c r="X35" s="41"/>
      <c r="Y35" s="41"/>
      <c r="Z35" s="41"/>
      <c r="AA35" s="41"/>
    </row>
    <row r="36" ht="27.75" customHeight="1">
      <c r="A36" s="63" t="s">
        <v>262</v>
      </c>
      <c r="B36" s="64">
        <f>B27-B34</f>
        <v>647330</v>
      </c>
      <c r="C36" s="48"/>
      <c r="D36" s="32"/>
      <c r="E36" s="39"/>
      <c r="F36" s="40"/>
      <c r="G36" s="40"/>
      <c r="H36" s="40"/>
      <c r="I36" s="41"/>
      <c r="J36" s="41"/>
      <c r="K36" s="41"/>
      <c r="L36" s="41"/>
      <c r="M36" s="41"/>
      <c r="N36" s="41"/>
      <c r="O36" s="41"/>
      <c r="P36" s="41"/>
      <c r="Q36" s="41"/>
      <c r="R36" s="41"/>
      <c r="S36" s="41"/>
      <c r="T36" s="41"/>
      <c r="U36" s="41"/>
      <c r="V36" s="41"/>
      <c r="W36" s="41"/>
      <c r="X36" s="41"/>
      <c r="Y36" s="41"/>
      <c r="Z36" s="41"/>
      <c r="AA36" s="41"/>
    </row>
    <row r="37" ht="21.75" customHeight="1">
      <c r="A37" s="52" t="s">
        <v>263</v>
      </c>
      <c r="B37" s="65">
        <f>B36/B18</f>
        <v>0.2453401554</v>
      </c>
      <c r="C37" s="50"/>
      <c r="D37" s="32"/>
      <c r="E37" s="39"/>
      <c r="F37" s="40"/>
      <c r="G37" s="40"/>
      <c r="H37" s="40"/>
      <c r="I37" s="41"/>
      <c r="J37" s="41"/>
      <c r="K37" s="41"/>
      <c r="L37" s="41"/>
      <c r="M37" s="41"/>
      <c r="N37" s="41"/>
      <c r="O37" s="41"/>
      <c r="P37" s="41"/>
      <c r="Q37" s="41"/>
      <c r="R37" s="41"/>
      <c r="S37" s="41"/>
      <c r="T37" s="41"/>
      <c r="U37" s="41"/>
      <c r="V37" s="41"/>
      <c r="W37" s="41"/>
      <c r="X37" s="41"/>
      <c r="Y37" s="41"/>
      <c r="Z37" s="41"/>
      <c r="AA37" s="41"/>
    </row>
    <row r="38" ht="21.75" customHeight="1">
      <c r="A38" s="55" t="s">
        <v>264</v>
      </c>
      <c r="B38" s="64">
        <f>IF(B36&gt;0,B18/B36,0)</f>
        <v>4.075973615</v>
      </c>
      <c r="C38" s="48"/>
      <c r="D38" s="32"/>
      <c r="E38" s="66"/>
      <c r="F38" s="67"/>
      <c r="G38" s="67"/>
      <c r="H38" s="67"/>
      <c r="I38" s="68"/>
      <c r="J38" s="41"/>
      <c r="K38" s="41"/>
      <c r="L38" s="41"/>
      <c r="M38" s="41"/>
      <c r="N38" s="41"/>
      <c r="O38" s="41"/>
      <c r="P38" s="41"/>
      <c r="Q38" s="41"/>
      <c r="R38" s="41"/>
      <c r="S38" s="41"/>
      <c r="T38" s="41"/>
      <c r="U38" s="41"/>
      <c r="V38" s="41"/>
      <c r="W38" s="41"/>
      <c r="X38" s="41"/>
      <c r="Y38" s="41"/>
      <c r="Z38" s="41"/>
      <c r="AA38" s="41"/>
    </row>
    <row r="39" ht="12.75" customHeight="1">
      <c r="A39" s="69"/>
      <c r="B39" s="31"/>
      <c r="C39" s="31"/>
      <c r="D39" s="31"/>
      <c r="E39" s="31"/>
      <c r="F39" s="31"/>
      <c r="G39" s="31"/>
      <c r="H39" s="31"/>
      <c r="I39" s="32"/>
      <c r="J39" s="41"/>
      <c r="K39" s="41"/>
      <c r="L39" s="41"/>
      <c r="M39" s="41"/>
      <c r="N39" s="41"/>
      <c r="O39" s="41"/>
      <c r="P39" s="41"/>
      <c r="Q39" s="41"/>
      <c r="R39" s="41"/>
      <c r="S39" s="41"/>
      <c r="T39" s="41"/>
      <c r="U39" s="41"/>
      <c r="V39" s="41"/>
      <c r="W39" s="41"/>
      <c r="X39" s="41"/>
      <c r="Y39" s="41"/>
      <c r="Z39" s="41"/>
      <c r="AA39" s="41"/>
    </row>
    <row r="40" ht="33.75" customHeight="1">
      <c r="A40" s="70" t="s">
        <v>265</v>
      </c>
      <c r="B40" s="31"/>
      <c r="C40" s="31"/>
      <c r="D40" s="31"/>
      <c r="E40" s="31"/>
      <c r="F40" s="31"/>
      <c r="G40" s="31"/>
      <c r="H40" s="32"/>
      <c r="I40" s="71"/>
      <c r="J40" s="35"/>
      <c r="K40" s="35"/>
      <c r="L40" s="35"/>
      <c r="M40" s="35"/>
      <c r="N40" s="35"/>
      <c r="O40" s="35"/>
      <c r="P40" s="35"/>
      <c r="Q40" s="35"/>
      <c r="R40" s="35"/>
      <c r="S40" s="35"/>
      <c r="T40" s="35"/>
      <c r="U40" s="35"/>
      <c r="V40" s="35"/>
      <c r="W40" s="35"/>
      <c r="X40" s="35"/>
      <c r="Y40" s="35"/>
      <c r="Z40" s="35"/>
      <c r="AA40" s="35"/>
    </row>
    <row r="41" ht="33.0" customHeight="1">
      <c r="A41" s="72" t="s">
        <v>266</v>
      </c>
      <c r="B41" s="73" t="s">
        <v>267</v>
      </c>
      <c r="C41" s="72" t="s">
        <v>268</v>
      </c>
      <c r="D41" s="72" t="s">
        <v>269</v>
      </c>
      <c r="E41" s="74" t="s">
        <v>270</v>
      </c>
      <c r="F41" s="72" t="s">
        <v>271</v>
      </c>
      <c r="G41" s="74" t="s">
        <v>272</v>
      </c>
      <c r="H41" s="72" t="s">
        <v>273</v>
      </c>
      <c r="I41" s="72" t="s">
        <v>274</v>
      </c>
      <c r="J41" s="75"/>
      <c r="K41" s="75"/>
      <c r="L41" s="75"/>
      <c r="M41" s="75"/>
      <c r="N41" s="75"/>
      <c r="O41" s="75"/>
      <c r="P41" s="75"/>
      <c r="Q41" s="75"/>
      <c r="R41" s="75"/>
      <c r="S41" s="75"/>
      <c r="T41" s="75"/>
      <c r="U41" s="75"/>
      <c r="V41" s="75"/>
      <c r="W41" s="75"/>
      <c r="X41" s="75"/>
      <c r="Y41" s="75"/>
      <c r="Z41" s="75"/>
      <c r="AA41" s="75"/>
    </row>
    <row r="42" ht="25.5" customHeight="1">
      <c r="A42" s="76" t="s">
        <v>275</v>
      </c>
      <c r="B42" s="77">
        <v>18.0</v>
      </c>
      <c r="C42" s="78">
        <v>1.0</v>
      </c>
      <c r="D42" s="79">
        <f>B18/B42</f>
        <v>146583.3333</v>
      </c>
      <c r="E42" s="79">
        <f>B36/B42</f>
        <v>35962.77778</v>
      </c>
      <c r="F42" s="80">
        <f t="shared" ref="F42:F45" si="1">D42/E42</f>
        <v>4.075973615</v>
      </c>
      <c r="G42" s="79">
        <f>B21*90</f>
        <v>13500</v>
      </c>
      <c r="H42" s="81">
        <f>B36/B42+B21*90</f>
        <v>49462.77778</v>
      </c>
      <c r="I42" s="82">
        <f>B36/B42-B21*90</f>
        <v>22462.77778</v>
      </c>
      <c r="J42" s="41"/>
      <c r="K42" s="41"/>
      <c r="L42" s="41"/>
      <c r="M42" s="41"/>
      <c r="N42" s="41"/>
      <c r="O42" s="41"/>
      <c r="P42" s="41"/>
      <c r="Q42" s="41"/>
      <c r="R42" s="41"/>
      <c r="S42" s="41"/>
      <c r="T42" s="41"/>
      <c r="U42" s="41"/>
      <c r="V42" s="41"/>
      <c r="W42" s="41"/>
      <c r="X42" s="41"/>
      <c r="Y42" s="41"/>
      <c r="Z42" s="41"/>
      <c r="AA42" s="41"/>
    </row>
    <row r="43" ht="25.5" customHeight="1">
      <c r="A43" s="83" t="s">
        <v>276</v>
      </c>
      <c r="B43" s="84">
        <v>36.0</v>
      </c>
      <c r="C43" s="85">
        <v>46054.0</v>
      </c>
      <c r="D43" s="86">
        <f>B18/B43</f>
        <v>73291.66667</v>
      </c>
      <c r="E43" s="86">
        <f>B36/B43</f>
        <v>17981.38889</v>
      </c>
      <c r="F43" s="87">
        <f t="shared" si="1"/>
        <v>4.075973615</v>
      </c>
      <c r="G43" s="86">
        <f>B21*90</f>
        <v>13500</v>
      </c>
      <c r="H43" s="88">
        <f>B36/B43+B21*90</f>
        <v>31481.38889</v>
      </c>
      <c r="I43" s="89">
        <f>B36/B43-B21*90</f>
        <v>4481.388889</v>
      </c>
      <c r="J43" s="41"/>
      <c r="K43" s="41"/>
      <c r="L43" s="41"/>
      <c r="M43" s="41"/>
      <c r="N43" s="41"/>
      <c r="O43" s="41"/>
      <c r="P43" s="41"/>
      <c r="Q43" s="41"/>
      <c r="R43" s="41"/>
      <c r="S43" s="41"/>
      <c r="T43" s="41"/>
      <c r="U43" s="41"/>
      <c r="V43" s="41"/>
      <c r="W43" s="41"/>
      <c r="X43" s="41"/>
      <c r="Y43" s="41"/>
      <c r="Z43" s="41"/>
      <c r="AA43" s="41"/>
    </row>
    <row r="44" ht="25.5" customHeight="1">
      <c r="A44" s="90" t="s">
        <v>277</v>
      </c>
      <c r="B44" s="91">
        <v>54.0</v>
      </c>
      <c r="C44" s="92">
        <v>46082.0</v>
      </c>
      <c r="D44" s="93">
        <f>B18/B44</f>
        <v>48861.11111</v>
      </c>
      <c r="E44" s="93">
        <f>B36/B44</f>
        <v>11987.59259</v>
      </c>
      <c r="F44" s="94">
        <f t="shared" si="1"/>
        <v>4.075973615</v>
      </c>
      <c r="G44" s="93">
        <f>B21*90</f>
        <v>13500</v>
      </c>
      <c r="H44" s="95">
        <f>B36/B44+B21*90</f>
        <v>25487.59259</v>
      </c>
      <c r="I44" s="96">
        <f t="shared" ref="I44:I45" si="2">B36/B44-B21*90</f>
        <v>-1512.407407</v>
      </c>
      <c r="J44" s="41"/>
      <c r="K44" s="41"/>
      <c r="L44" s="41"/>
      <c r="M44" s="41"/>
      <c r="N44" s="41"/>
      <c r="O44" s="41"/>
      <c r="P44" s="41"/>
      <c r="Q44" s="41"/>
      <c r="R44" s="41"/>
      <c r="S44" s="41"/>
      <c r="T44" s="41"/>
      <c r="U44" s="41"/>
      <c r="V44" s="41"/>
      <c r="W44" s="41"/>
      <c r="X44" s="41"/>
      <c r="Y44" s="41"/>
      <c r="Z44" s="41"/>
      <c r="AA44" s="41"/>
    </row>
    <row r="45" ht="25.5" customHeight="1">
      <c r="A45" s="97" t="s">
        <v>278</v>
      </c>
      <c r="B45" s="98">
        <v>72.0</v>
      </c>
      <c r="C45" s="99">
        <v>46113.0</v>
      </c>
      <c r="D45" s="100">
        <f>B18/B45</f>
        <v>36645.83333</v>
      </c>
      <c r="E45" s="100">
        <f>B36/B45</f>
        <v>8990.694444</v>
      </c>
      <c r="F45" s="101">
        <f t="shared" si="1"/>
        <v>4.075973615</v>
      </c>
      <c r="G45" s="100">
        <f>B21*90</f>
        <v>13500</v>
      </c>
      <c r="H45" s="102">
        <f>B36/B45+B21*90</f>
        <v>22490.69444</v>
      </c>
      <c r="I45" s="103">
        <f t="shared" si="2"/>
        <v>-62.9965925</v>
      </c>
      <c r="J45" s="41"/>
      <c r="K45" s="41"/>
      <c r="L45" s="41"/>
      <c r="M45" s="41"/>
      <c r="N45" s="41"/>
      <c r="O45" s="41"/>
      <c r="P45" s="41"/>
      <c r="Q45" s="41"/>
      <c r="R45" s="41"/>
      <c r="S45" s="41"/>
      <c r="T45" s="41"/>
      <c r="U45" s="41"/>
      <c r="V45" s="41"/>
      <c r="W45" s="41"/>
      <c r="X45" s="41"/>
      <c r="Y45" s="41"/>
      <c r="Z45" s="41"/>
      <c r="AA45" s="41"/>
    </row>
    <row r="46" ht="12.75" customHeight="1">
      <c r="A46" s="104"/>
      <c r="B46" s="105"/>
      <c r="C46" s="105"/>
      <c r="D46" s="105"/>
      <c r="E46" s="105"/>
      <c r="F46" s="105"/>
      <c r="G46" s="105"/>
      <c r="H46" s="105"/>
      <c r="I46" s="106"/>
      <c r="J46" s="107"/>
      <c r="K46" s="107"/>
      <c r="L46" s="107"/>
      <c r="M46" s="107"/>
      <c r="N46" s="107"/>
      <c r="O46" s="107"/>
      <c r="P46" s="107"/>
      <c r="Q46" s="107"/>
      <c r="R46" s="107"/>
      <c r="S46" s="107"/>
      <c r="T46" s="107"/>
      <c r="U46" s="107"/>
      <c r="V46" s="107"/>
      <c r="W46" s="107"/>
      <c r="X46" s="107"/>
      <c r="Y46" s="107"/>
      <c r="Z46" s="107"/>
      <c r="AA46" s="107"/>
    </row>
    <row r="47" ht="25.5" customHeight="1">
      <c r="A47" s="108" t="s">
        <v>279</v>
      </c>
      <c r="B47" s="31"/>
      <c r="C47" s="31"/>
      <c r="D47" s="31"/>
      <c r="E47" s="31"/>
      <c r="F47" s="31"/>
      <c r="G47" s="31"/>
      <c r="H47" s="31"/>
      <c r="I47" s="32"/>
      <c r="J47" s="109"/>
      <c r="K47" s="109"/>
      <c r="L47" s="109"/>
      <c r="M47" s="109"/>
      <c r="N47" s="109"/>
      <c r="O47" s="109"/>
      <c r="P47" s="109"/>
      <c r="Q47" s="109"/>
      <c r="R47" s="109"/>
      <c r="S47" s="109"/>
      <c r="T47" s="109"/>
      <c r="U47" s="109"/>
      <c r="V47" s="109"/>
      <c r="W47" s="109"/>
      <c r="X47" s="109"/>
      <c r="Y47" s="109"/>
      <c r="Z47" s="109"/>
      <c r="AA47" s="109"/>
    </row>
    <row r="48" ht="24.0" customHeight="1">
      <c r="A48" s="110" t="s">
        <v>280</v>
      </c>
      <c r="B48" s="31"/>
      <c r="C48" s="31"/>
      <c r="D48" s="31"/>
      <c r="E48" s="31"/>
      <c r="F48" s="31"/>
      <c r="G48" s="31"/>
      <c r="H48" s="31"/>
      <c r="I48" s="32"/>
      <c r="J48" s="109"/>
      <c r="K48" s="109"/>
      <c r="L48" s="109"/>
      <c r="M48" s="109"/>
      <c r="N48" s="109"/>
      <c r="O48" s="109"/>
      <c r="P48" s="109"/>
      <c r="Q48" s="109"/>
      <c r="R48" s="109"/>
      <c r="S48" s="109"/>
      <c r="T48" s="109"/>
      <c r="U48" s="109"/>
      <c r="V48" s="109"/>
      <c r="W48" s="109"/>
      <c r="X48" s="109"/>
      <c r="Y48" s="109"/>
      <c r="Z48" s="109"/>
      <c r="AA48" s="109"/>
    </row>
    <row r="49" ht="24.0" customHeight="1">
      <c r="A49" s="110" t="s">
        <v>281</v>
      </c>
      <c r="B49" s="31"/>
      <c r="C49" s="31"/>
      <c r="D49" s="31"/>
      <c r="E49" s="31"/>
      <c r="F49" s="31"/>
      <c r="G49" s="31"/>
      <c r="H49" s="31"/>
      <c r="I49" s="32"/>
      <c r="J49" s="109"/>
      <c r="K49" s="109"/>
      <c r="L49" s="109"/>
      <c r="M49" s="109"/>
      <c r="N49" s="109"/>
      <c r="O49" s="109"/>
      <c r="P49" s="109"/>
      <c r="Q49" s="109"/>
      <c r="R49" s="109"/>
      <c r="S49" s="109"/>
      <c r="T49" s="109"/>
      <c r="U49" s="109"/>
      <c r="V49" s="109"/>
      <c r="W49" s="109"/>
      <c r="X49" s="109"/>
      <c r="Y49" s="109"/>
      <c r="Z49" s="109"/>
      <c r="AA49" s="109"/>
    </row>
    <row r="50" ht="10.5" customHeight="1">
      <c r="A50" s="111"/>
      <c r="B50" s="31"/>
      <c r="C50" s="31"/>
      <c r="D50" s="31"/>
      <c r="E50" s="31"/>
      <c r="F50" s="31"/>
      <c r="G50" s="31"/>
      <c r="H50" s="31"/>
      <c r="I50" s="32"/>
      <c r="J50" s="112"/>
      <c r="K50" s="112"/>
      <c r="L50" s="112"/>
      <c r="M50" s="112"/>
      <c r="N50" s="112"/>
      <c r="O50" s="112"/>
      <c r="P50" s="112"/>
      <c r="Q50" s="112"/>
      <c r="R50" s="112"/>
      <c r="S50" s="112"/>
      <c r="T50" s="112"/>
      <c r="U50" s="112"/>
      <c r="V50" s="112"/>
      <c r="W50" s="112"/>
      <c r="X50" s="112"/>
      <c r="Y50" s="112"/>
      <c r="Z50" s="112"/>
      <c r="AA50" s="112"/>
    </row>
    <row r="51" ht="24.0" customHeight="1">
      <c r="A51" s="113" t="s">
        <v>282</v>
      </c>
      <c r="B51" s="31"/>
      <c r="C51" s="31"/>
      <c r="D51" s="31"/>
      <c r="E51" s="31"/>
      <c r="F51" s="31"/>
      <c r="G51" s="31"/>
      <c r="H51" s="31"/>
      <c r="I51" s="32"/>
      <c r="J51" s="112"/>
      <c r="K51" s="112"/>
      <c r="L51" s="112"/>
      <c r="M51" s="112"/>
      <c r="N51" s="112"/>
      <c r="O51" s="112"/>
      <c r="P51" s="112"/>
      <c r="Q51" s="112"/>
      <c r="R51" s="112"/>
      <c r="S51" s="112"/>
      <c r="T51" s="112"/>
      <c r="U51" s="112"/>
      <c r="V51" s="112"/>
      <c r="W51" s="112"/>
      <c r="X51" s="112"/>
      <c r="Y51" s="112"/>
      <c r="Z51" s="112"/>
      <c r="AA51" s="112"/>
    </row>
    <row r="52" ht="24.0" customHeight="1">
      <c r="A52" s="113" t="s">
        <v>283</v>
      </c>
      <c r="B52" s="31"/>
      <c r="C52" s="31"/>
      <c r="D52" s="31"/>
      <c r="E52" s="31"/>
      <c r="F52" s="31"/>
      <c r="G52" s="31"/>
      <c r="H52" s="31"/>
      <c r="I52" s="32"/>
      <c r="J52" s="112"/>
      <c r="K52" s="112"/>
      <c r="L52" s="112"/>
      <c r="M52" s="112"/>
      <c r="N52" s="112"/>
      <c r="O52" s="112"/>
      <c r="P52" s="112"/>
      <c r="Q52" s="112"/>
      <c r="R52" s="112"/>
      <c r="S52" s="112"/>
      <c r="T52" s="112"/>
      <c r="U52" s="112"/>
      <c r="V52" s="112"/>
      <c r="W52" s="112"/>
      <c r="X52" s="112"/>
      <c r="Y52" s="112"/>
      <c r="Z52" s="112"/>
      <c r="AA52" s="112"/>
    </row>
    <row r="53" ht="24.0" customHeight="1">
      <c r="A53" s="113" t="s">
        <v>284</v>
      </c>
      <c r="B53" s="31"/>
      <c r="C53" s="31"/>
      <c r="D53" s="31"/>
      <c r="E53" s="31"/>
      <c r="F53" s="31"/>
      <c r="G53" s="31"/>
      <c r="H53" s="31"/>
      <c r="I53" s="32"/>
      <c r="J53" s="112"/>
      <c r="K53" s="112"/>
      <c r="L53" s="112"/>
      <c r="M53" s="112"/>
      <c r="N53" s="112"/>
      <c r="O53" s="112"/>
      <c r="P53" s="112"/>
      <c r="Q53" s="112"/>
      <c r="R53" s="112"/>
      <c r="S53" s="112"/>
      <c r="T53" s="112"/>
      <c r="U53" s="112"/>
      <c r="V53" s="112"/>
      <c r="W53" s="112"/>
      <c r="X53" s="112"/>
      <c r="Y53" s="112"/>
      <c r="Z53" s="112"/>
      <c r="AA53" s="112"/>
    </row>
    <row r="54" ht="15.75" customHeight="1">
      <c r="A54" s="41"/>
      <c r="B54" s="114"/>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ht="15.75" customHeight="1">
      <c r="A55" s="41"/>
      <c r="B55" s="114"/>
      <c r="C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ht="15.75" customHeight="1">
      <c r="A56" s="41"/>
      <c r="B56" s="114"/>
      <c r="C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ht="15.75" customHeight="1">
      <c r="A57" s="41"/>
      <c r="B57" s="114"/>
      <c r="C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ht="15.75" customHeight="1">
      <c r="A58" s="41"/>
      <c r="B58" s="114"/>
      <c r="C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ht="15.75" customHeight="1">
      <c r="A59" s="41"/>
      <c r="B59" s="114"/>
      <c r="C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ht="15.75" customHeight="1">
      <c r="A60" s="41"/>
      <c r="B60" s="114"/>
      <c r="C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ht="15.75" customHeight="1">
      <c r="A61" s="41"/>
      <c r="B61" s="114"/>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ht="15.75" customHeight="1">
      <c r="A62" s="41"/>
      <c r="B62" s="114"/>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ht="15.75" customHeight="1">
      <c r="A63" s="41"/>
      <c r="B63" s="114"/>
      <c r="C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ht="15.75" customHeight="1">
      <c r="A64" s="41"/>
      <c r="B64" s="114"/>
      <c r="C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ht="15.75" customHeight="1">
      <c r="A65" s="41"/>
      <c r="B65" s="114"/>
      <c r="C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ht="15.75" customHeight="1">
      <c r="A66" s="41"/>
      <c r="B66" s="114"/>
      <c r="C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ht="15.75" customHeight="1">
      <c r="A67" s="41"/>
      <c r="B67" s="114"/>
      <c r="C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ht="15.75" customHeight="1">
      <c r="A68" s="41"/>
      <c r="B68" s="114"/>
      <c r="C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ht="15.75" customHeight="1">
      <c r="A69" s="41"/>
      <c r="B69" s="114"/>
      <c r="C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ht="15.75" customHeight="1">
      <c r="A70" s="41"/>
      <c r="B70" s="114"/>
      <c r="C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ht="15.75" customHeight="1">
      <c r="A71" s="41"/>
      <c r="B71" s="114"/>
      <c r="C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ht="15.75" customHeight="1">
      <c r="A72" s="41"/>
      <c r="B72" s="114"/>
      <c r="C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ht="15.75" customHeight="1">
      <c r="A73" s="41"/>
      <c r="B73" s="114"/>
      <c r="C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ht="15.75" customHeight="1">
      <c r="A74" s="41"/>
      <c r="B74" s="114"/>
      <c r="C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ht="15.75" customHeight="1">
      <c r="A75" s="41"/>
      <c r="B75" s="114"/>
      <c r="C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ht="15.75" customHeight="1">
      <c r="A76" s="41"/>
      <c r="B76" s="114"/>
      <c r="C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ht="15.75" customHeight="1">
      <c r="A77" s="41"/>
      <c r="B77" s="114"/>
      <c r="C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ht="15.75" customHeight="1">
      <c r="A78" s="41"/>
      <c r="B78" s="114"/>
      <c r="C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ht="15.75" customHeight="1">
      <c r="A79" s="41"/>
      <c r="B79" s="114"/>
      <c r="C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ht="15.75" customHeight="1">
      <c r="A80" s="41"/>
      <c r="B80" s="114"/>
      <c r="C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ht="15.75" customHeight="1">
      <c r="A81" s="41"/>
      <c r="B81" s="114"/>
      <c r="C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ht="15.75" customHeight="1">
      <c r="A82" s="41"/>
      <c r="B82" s="114"/>
      <c r="C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ht="15.75" customHeight="1">
      <c r="A83" s="41"/>
      <c r="B83" s="114"/>
      <c r="C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ht="15.75" customHeight="1">
      <c r="A84" s="41"/>
      <c r="B84" s="114"/>
      <c r="C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ht="15.75" customHeight="1">
      <c r="A85" s="41"/>
      <c r="B85" s="114"/>
      <c r="C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ht="15.75" customHeight="1">
      <c r="A86" s="41"/>
      <c r="B86" s="114"/>
      <c r="C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ht="15.75" customHeight="1">
      <c r="A87" s="41"/>
      <c r="B87" s="114"/>
      <c r="C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ht="15.75" customHeight="1">
      <c r="A88" s="41"/>
      <c r="B88" s="114"/>
      <c r="C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ht="15.75" customHeight="1">
      <c r="A89" s="41"/>
      <c r="B89" s="114"/>
      <c r="C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ht="15.75" customHeight="1">
      <c r="A90" s="41"/>
      <c r="B90" s="114"/>
      <c r="C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ht="15.75" customHeight="1">
      <c r="A91" s="41"/>
      <c r="B91" s="114"/>
      <c r="C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ht="15.75" customHeight="1">
      <c r="A92" s="41"/>
      <c r="B92" s="114"/>
      <c r="C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ht="15.75" customHeight="1">
      <c r="A93" s="41"/>
      <c r="B93" s="114"/>
      <c r="C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ht="15.75" customHeight="1">
      <c r="A94" s="41"/>
      <c r="B94" s="114"/>
      <c r="C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ht="15.75" customHeight="1">
      <c r="A95" s="41"/>
      <c r="B95" s="114"/>
      <c r="C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ht="15.75" customHeight="1">
      <c r="A96" s="41"/>
      <c r="B96" s="114"/>
      <c r="C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ht="15.75" customHeight="1">
      <c r="A97" s="41"/>
      <c r="B97" s="114"/>
      <c r="C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ht="15.75" customHeight="1">
      <c r="A98" s="41"/>
      <c r="B98" s="114"/>
      <c r="C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ht="15.75" customHeight="1">
      <c r="A99" s="41"/>
      <c r="B99" s="114"/>
      <c r="C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ht="15.75" customHeight="1">
      <c r="A100" s="41"/>
      <c r="B100" s="114"/>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ht="15.75" customHeight="1">
      <c r="A101" s="41"/>
      <c r="B101" s="114"/>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ht="15.75" customHeight="1">
      <c r="A102" s="41"/>
      <c r="B102" s="114"/>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ht="15.75" customHeight="1">
      <c r="A103" s="41"/>
      <c r="B103" s="114"/>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ht="15.75" customHeight="1">
      <c r="A104" s="41"/>
      <c r="B104" s="114"/>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ht="15.75" customHeight="1">
      <c r="A105" s="41"/>
      <c r="B105" s="114"/>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ht="15.75" customHeight="1">
      <c r="A106" s="41"/>
      <c r="B106" s="114"/>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ht="15.75" customHeight="1">
      <c r="A107" s="41"/>
      <c r="B107" s="114"/>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ht="15.75" customHeight="1">
      <c r="A108" s="41"/>
      <c r="B108" s="114"/>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ht="15.75" customHeight="1">
      <c r="A109" s="41"/>
      <c r="B109" s="114"/>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ht="15.75" customHeight="1">
      <c r="A110" s="41"/>
      <c r="B110" s="114"/>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ht="15.75" customHeight="1">
      <c r="A111" s="41"/>
      <c r="B111" s="114"/>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ht="15.75" customHeight="1">
      <c r="A112" s="41"/>
      <c r="B112" s="114"/>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ht="15.75" customHeight="1">
      <c r="A113" s="41"/>
      <c r="B113" s="114"/>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ht="15.75" customHeight="1">
      <c r="A114" s="41"/>
      <c r="B114" s="114"/>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ht="15.75" customHeight="1">
      <c r="A115" s="41"/>
      <c r="B115" s="114"/>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ht="15.75" customHeight="1">
      <c r="A116" s="41"/>
      <c r="B116" s="114"/>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ht="15.75" customHeight="1">
      <c r="A117" s="41"/>
      <c r="B117" s="114"/>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ht="15.75" customHeight="1">
      <c r="A118" s="41"/>
      <c r="B118" s="114"/>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ht="15.75" customHeight="1">
      <c r="A119" s="41"/>
      <c r="B119" s="114"/>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ht="15.75" customHeight="1">
      <c r="A120" s="41"/>
      <c r="B120" s="114"/>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ht="15.75" customHeight="1">
      <c r="A121" s="41"/>
      <c r="B121" s="114"/>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ht="15.75" customHeight="1">
      <c r="A122" s="41"/>
      <c r="B122" s="114"/>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ht="15.75" customHeight="1">
      <c r="A123" s="41"/>
      <c r="B123" s="114"/>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ht="15.75" customHeight="1">
      <c r="A124" s="41"/>
      <c r="B124" s="114"/>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ht="15.75" customHeight="1">
      <c r="A125" s="41"/>
      <c r="B125" s="114"/>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ht="15.75" customHeight="1">
      <c r="A126" s="41"/>
      <c r="B126" s="114"/>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ht="15.75" customHeight="1">
      <c r="A127" s="41"/>
      <c r="B127" s="114"/>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ht="15.75" customHeight="1">
      <c r="A128" s="41"/>
      <c r="B128" s="114"/>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ht="15.75" customHeight="1">
      <c r="A129" s="41"/>
      <c r="B129" s="114"/>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ht="15.75" customHeight="1">
      <c r="A130" s="41"/>
      <c r="B130" s="114"/>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ht="15.75" customHeight="1">
      <c r="A131" s="41"/>
      <c r="B131" s="114"/>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ht="15.75" customHeight="1">
      <c r="A132" s="41"/>
      <c r="B132" s="114"/>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ht="15.75" customHeight="1">
      <c r="A133" s="41"/>
      <c r="B133" s="114"/>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ht="15.75" customHeight="1">
      <c r="A134" s="41"/>
      <c r="B134" s="114"/>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ht="15.75" customHeight="1">
      <c r="A135" s="41"/>
      <c r="B135" s="114"/>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ht="15.75" customHeight="1">
      <c r="A136" s="41"/>
      <c r="B136" s="114"/>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ht="15.75" customHeight="1">
      <c r="A137" s="41"/>
      <c r="B137" s="114"/>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ht="15.75" customHeight="1">
      <c r="A138" s="41"/>
      <c r="B138" s="114"/>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ht="15.75" customHeight="1">
      <c r="A139" s="41"/>
      <c r="B139" s="114"/>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ht="15.75" customHeight="1">
      <c r="A140" s="41"/>
      <c r="B140" s="114"/>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ht="15.75" customHeight="1">
      <c r="A141" s="41"/>
      <c r="B141" s="114"/>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ht="15.75" customHeight="1">
      <c r="A142" s="41"/>
      <c r="B142" s="114"/>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ht="15.75" customHeight="1">
      <c r="A143" s="41"/>
      <c r="B143" s="114"/>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ht="15.75" customHeight="1">
      <c r="A144" s="41"/>
      <c r="B144" s="114"/>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ht="15.75" customHeight="1">
      <c r="A145" s="41"/>
      <c r="B145" s="114"/>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ht="15.75" customHeight="1">
      <c r="A146" s="41"/>
      <c r="B146" s="114"/>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ht="15.75" customHeight="1">
      <c r="A147" s="41"/>
      <c r="B147" s="114"/>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ht="15.75" customHeight="1">
      <c r="A148" s="41"/>
      <c r="B148" s="114"/>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ht="15.75" customHeight="1">
      <c r="A149" s="41"/>
      <c r="B149" s="114"/>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ht="15.75" customHeight="1">
      <c r="A150" s="41"/>
      <c r="B150" s="114"/>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ht="15.75" customHeight="1">
      <c r="A151" s="41"/>
      <c r="B151" s="114"/>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ht="15.75" customHeight="1">
      <c r="A152" s="41"/>
      <c r="B152" s="114"/>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ht="15.75" customHeight="1">
      <c r="A153" s="41"/>
      <c r="B153" s="114"/>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ht="15.75" customHeight="1">
      <c r="A154" s="41"/>
      <c r="B154" s="114"/>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ht="15.75" customHeight="1">
      <c r="A155" s="41"/>
      <c r="B155" s="114"/>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ht="15.75" customHeight="1">
      <c r="A156" s="41"/>
      <c r="B156" s="114"/>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ht="15.75" customHeight="1">
      <c r="A157" s="41"/>
      <c r="B157" s="114"/>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ht="15.75" customHeight="1">
      <c r="A158" s="41"/>
      <c r="B158" s="114"/>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ht="15.75" customHeight="1">
      <c r="A159" s="41"/>
      <c r="B159" s="114"/>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ht="15.75" customHeight="1">
      <c r="A160" s="41"/>
      <c r="B160" s="114"/>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ht="15.75" customHeight="1">
      <c r="A161" s="41"/>
      <c r="B161" s="114"/>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ht="15.75" customHeight="1">
      <c r="A162" s="41"/>
      <c r="B162" s="114"/>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ht="15.75" customHeight="1">
      <c r="A163" s="41"/>
      <c r="B163" s="114"/>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ht="15.75" customHeight="1">
      <c r="A164" s="41"/>
      <c r="B164" s="114"/>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ht="15.75" customHeight="1">
      <c r="A165" s="41"/>
      <c r="B165" s="114"/>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ht="15.75" customHeight="1">
      <c r="A166" s="41"/>
      <c r="B166" s="114"/>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ht="15.75" customHeight="1">
      <c r="A167" s="41"/>
      <c r="B167" s="114"/>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ht="15.75" customHeight="1">
      <c r="A168" s="41"/>
      <c r="B168" s="114"/>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ht="15.75" customHeight="1">
      <c r="A169" s="41"/>
      <c r="B169" s="114"/>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ht="15.75" customHeight="1">
      <c r="A170" s="41"/>
      <c r="B170" s="114"/>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ht="15.75" customHeight="1">
      <c r="A171" s="41"/>
      <c r="B171" s="114"/>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ht="15.75" customHeight="1">
      <c r="A172" s="41"/>
      <c r="B172" s="114"/>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ht="15.75" customHeight="1">
      <c r="A173" s="41"/>
      <c r="B173" s="114"/>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ht="15.75" customHeight="1">
      <c r="A174" s="41"/>
      <c r="B174" s="114"/>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ht="15.75" customHeight="1">
      <c r="A175" s="41"/>
      <c r="B175" s="114"/>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ht="15.75" customHeight="1">
      <c r="A176" s="41"/>
      <c r="B176" s="114"/>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ht="15.75" customHeight="1">
      <c r="A177" s="41"/>
      <c r="B177" s="114"/>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ht="15.75" customHeight="1">
      <c r="A178" s="41"/>
      <c r="B178" s="114"/>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ht="15.75" customHeight="1">
      <c r="A179" s="41"/>
      <c r="B179" s="114"/>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ht="15.75" customHeight="1">
      <c r="A180" s="41"/>
      <c r="B180" s="114"/>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ht="15.75" customHeight="1">
      <c r="A181" s="41"/>
      <c r="B181" s="114"/>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ht="15.75" customHeight="1">
      <c r="A182" s="41"/>
      <c r="B182" s="114"/>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ht="15.75" customHeight="1">
      <c r="A183" s="41"/>
      <c r="B183" s="114"/>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ht="15.75" customHeight="1">
      <c r="A184" s="41"/>
      <c r="B184" s="114"/>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ht="15.75" customHeight="1">
      <c r="A185" s="41"/>
      <c r="B185" s="114"/>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ht="15.75" customHeight="1">
      <c r="A186" s="41"/>
      <c r="B186" s="114"/>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ht="15.75" customHeight="1">
      <c r="A187" s="41"/>
      <c r="B187" s="114"/>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ht="15.75" customHeight="1">
      <c r="A188" s="41"/>
      <c r="B188" s="114"/>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ht="15.75" customHeight="1">
      <c r="A189" s="41"/>
      <c r="B189" s="114"/>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ht="15.75" customHeight="1">
      <c r="A190" s="41"/>
      <c r="B190" s="114"/>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ht="15.75" customHeight="1">
      <c r="A191" s="41"/>
      <c r="B191" s="114"/>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ht="15.75" customHeight="1">
      <c r="A192" s="41"/>
      <c r="B192" s="114"/>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ht="15.75" customHeight="1">
      <c r="A193" s="41"/>
      <c r="B193" s="114"/>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ht="15.75" customHeight="1">
      <c r="A194" s="41"/>
      <c r="B194" s="114"/>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ht="15.75" customHeight="1">
      <c r="A195" s="41"/>
      <c r="B195" s="114"/>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ht="15.75" customHeight="1">
      <c r="A196" s="41"/>
      <c r="B196" s="114"/>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ht="15.75" customHeight="1">
      <c r="A197" s="41"/>
      <c r="B197" s="114"/>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ht="15.75" customHeight="1">
      <c r="A198" s="41"/>
      <c r="B198" s="114"/>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ht="15.75" customHeight="1">
      <c r="A199" s="41"/>
      <c r="B199" s="114"/>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ht="15.75" customHeight="1">
      <c r="A200" s="41"/>
      <c r="B200" s="114"/>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ht="15.75" customHeight="1">
      <c r="A201" s="41"/>
      <c r="B201" s="114"/>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ht="15.75" customHeight="1">
      <c r="A202" s="41"/>
      <c r="B202" s="114"/>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ht="15.75" customHeight="1">
      <c r="A203" s="41"/>
      <c r="B203" s="114"/>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ht="15.75" customHeight="1">
      <c r="A204" s="41"/>
      <c r="B204" s="114"/>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ht="15.75" customHeight="1">
      <c r="A205" s="41"/>
      <c r="B205" s="114"/>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ht="15.75" customHeight="1">
      <c r="A206" s="41"/>
      <c r="B206" s="114"/>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ht="15.75" customHeight="1">
      <c r="A207" s="41"/>
      <c r="B207" s="114"/>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ht="15.75" customHeight="1">
      <c r="A208" s="41"/>
      <c r="B208" s="114"/>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ht="15.75" customHeight="1">
      <c r="A209" s="41"/>
      <c r="B209" s="114"/>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ht="15.75" customHeight="1">
      <c r="A210" s="41"/>
      <c r="B210" s="114"/>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ht="15.75" customHeight="1">
      <c r="A211" s="41"/>
      <c r="B211" s="114"/>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ht="15.75" customHeight="1">
      <c r="A212" s="41"/>
      <c r="B212" s="114"/>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ht="15.75" customHeight="1">
      <c r="A213" s="41"/>
      <c r="B213" s="114"/>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ht="15.75" customHeight="1">
      <c r="A214" s="41"/>
      <c r="B214" s="114"/>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ht="15.75" customHeight="1">
      <c r="A215" s="41"/>
      <c r="B215" s="114"/>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ht="15.75" customHeight="1">
      <c r="A216" s="41"/>
      <c r="B216" s="114"/>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ht="15.75" customHeight="1">
      <c r="A217" s="41"/>
      <c r="B217" s="114"/>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ht="15.75" customHeight="1">
      <c r="A218" s="41"/>
      <c r="B218" s="114"/>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ht="15.75" customHeight="1">
      <c r="A219" s="41"/>
      <c r="B219" s="114"/>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ht="15.75" customHeight="1">
      <c r="A220" s="41"/>
      <c r="B220" s="114"/>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ht="15.75" customHeight="1">
      <c r="A221" s="41"/>
      <c r="B221" s="114"/>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ht="15.75" customHeight="1">
      <c r="A222" s="41"/>
      <c r="B222" s="114"/>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ht="15.75" customHeight="1">
      <c r="A223" s="41"/>
      <c r="B223" s="114"/>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ht="15.75" customHeight="1">
      <c r="A224" s="41"/>
      <c r="B224" s="114"/>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ht="15.75" customHeight="1">
      <c r="A225" s="41"/>
      <c r="B225" s="114"/>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ht="15.75" customHeight="1">
      <c r="A226" s="41"/>
      <c r="B226" s="114"/>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ht="15.75" customHeight="1">
      <c r="A227" s="41"/>
      <c r="B227" s="114"/>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ht="15.75" customHeight="1">
      <c r="A228" s="41"/>
      <c r="B228" s="114"/>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ht="15.75" customHeight="1">
      <c r="A229" s="41"/>
      <c r="B229" s="114"/>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ht="15.75" customHeight="1">
      <c r="A230" s="41"/>
      <c r="B230" s="114"/>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ht="15.75" customHeight="1">
      <c r="A231" s="41"/>
      <c r="B231" s="114"/>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ht="15.75" customHeight="1">
      <c r="A232" s="41"/>
      <c r="B232" s="114"/>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ht="15.75" customHeight="1">
      <c r="A233" s="41"/>
      <c r="B233" s="114"/>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ht="15.75" customHeight="1">
      <c r="A234" s="41"/>
      <c r="B234" s="114"/>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ht="15.75" customHeight="1">
      <c r="A235" s="41"/>
      <c r="B235" s="114"/>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ht="15.75" customHeight="1">
      <c r="A236" s="41"/>
      <c r="B236" s="114"/>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ht="15.75" customHeight="1">
      <c r="A237" s="41"/>
      <c r="B237" s="114"/>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ht="15.75" customHeight="1">
      <c r="A238" s="41"/>
      <c r="B238" s="114"/>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ht="15.75" customHeight="1">
      <c r="A239" s="41"/>
      <c r="B239" s="114"/>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ht="15.75" customHeight="1">
      <c r="A240" s="41"/>
      <c r="B240" s="114"/>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ht="15.75" customHeight="1">
      <c r="A241" s="41"/>
      <c r="B241" s="114"/>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ht="15.75" customHeight="1">
      <c r="A242" s="41"/>
      <c r="B242" s="114"/>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ht="15.75" customHeight="1">
      <c r="A243" s="41"/>
      <c r="B243" s="114"/>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ht="15.75" customHeight="1">
      <c r="A244" s="41"/>
      <c r="B244" s="114"/>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ht="15.75" customHeight="1">
      <c r="A245" s="41"/>
      <c r="B245" s="114"/>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ht="15.75" customHeight="1">
      <c r="A246" s="41"/>
      <c r="B246" s="114"/>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ht="15.75" customHeight="1">
      <c r="A247" s="41"/>
      <c r="B247" s="114"/>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ht="15.75" customHeight="1">
      <c r="A248" s="41"/>
      <c r="B248" s="114"/>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ht="15.75" customHeight="1">
      <c r="A249" s="41"/>
      <c r="B249" s="114"/>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ht="15.75" customHeight="1">
      <c r="A250" s="41"/>
      <c r="B250" s="114"/>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ht="15.75" customHeight="1">
      <c r="A251" s="41"/>
      <c r="B251" s="114"/>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ht="15.75" customHeight="1">
      <c r="A252" s="41"/>
      <c r="B252" s="114"/>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ht="15.75" customHeight="1">
      <c r="A253" s="41"/>
      <c r="B253" s="114"/>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ht="15.75" customHeight="1">
      <c r="A254" s="41"/>
      <c r="B254" s="114"/>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ht="15.75" customHeight="1">
      <c r="A255" s="41"/>
      <c r="B255" s="114"/>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ht="15.75" customHeight="1">
      <c r="A256" s="41"/>
      <c r="B256" s="114"/>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ht="15.75" customHeight="1">
      <c r="A257" s="41"/>
      <c r="B257" s="114"/>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ht="15.75" customHeight="1">
      <c r="A258" s="41"/>
      <c r="B258" s="114"/>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ht="15.75" customHeight="1">
      <c r="A259" s="41"/>
      <c r="B259" s="114"/>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ht="15.75" customHeight="1">
      <c r="A260" s="41"/>
      <c r="B260" s="114"/>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ht="15.75" customHeight="1">
      <c r="A261" s="41"/>
      <c r="B261" s="114"/>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ht="15.75" customHeight="1">
      <c r="A262" s="41"/>
      <c r="B262" s="114"/>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ht="15.75" customHeight="1">
      <c r="A263" s="41"/>
      <c r="B263" s="114"/>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ht="15.75" customHeight="1">
      <c r="A264" s="41"/>
      <c r="B264" s="114"/>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ht="15.75" customHeight="1">
      <c r="A265" s="41"/>
      <c r="B265" s="114"/>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ht="15.75" customHeight="1">
      <c r="A266" s="41"/>
      <c r="B266" s="114"/>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ht="15.75" customHeight="1">
      <c r="A267" s="41"/>
      <c r="B267" s="114"/>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ht="15.75" customHeight="1">
      <c r="A268" s="41"/>
      <c r="B268" s="114"/>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ht="15.75" customHeight="1">
      <c r="A269" s="41"/>
      <c r="B269" s="114"/>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ht="15.75" customHeight="1">
      <c r="A270" s="41"/>
      <c r="B270" s="114"/>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ht="15.75" customHeight="1">
      <c r="A271" s="41"/>
      <c r="B271" s="114"/>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ht="15.75" customHeight="1">
      <c r="A272" s="41"/>
      <c r="B272" s="114"/>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ht="15.75" customHeight="1">
      <c r="A273" s="41"/>
      <c r="B273" s="114"/>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ht="15.75" customHeight="1">
      <c r="A274" s="41"/>
      <c r="B274" s="114"/>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ht="15.75" customHeight="1">
      <c r="A275" s="41"/>
      <c r="B275" s="114"/>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ht="15.75" customHeight="1">
      <c r="A276" s="41"/>
      <c r="B276" s="114"/>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ht="15.75" customHeight="1">
      <c r="A277" s="41"/>
      <c r="B277" s="114"/>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ht="15.75" customHeight="1">
      <c r="A278" s="41"/>
      <c r="B278" s="114"/>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ht="15.75" customHeight="1">
      <c r="A279" s="41"/>
      <c r="B279" s="114"/>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ht="15.75" customHeight="1">
      <c r="A280" s="41"/>
      <c r="B280" s="114"/>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ht="15.75" customHeight="1">
      <c r="A281" s="41"/>
      <c r="B281" s="114"/>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ht="15.75" customHeight="1">
      <c r="A282" s="41"/>
      <c r="B282" s="114"/>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ht="15.75" customHeight="1">
      <c r="A283" s="41"/>
      <c r="B283" s="114"/>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ht="15.75" customHeight="1">
      <c r="A284" s="41"/>
      <c r="B284" s="114"/>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ht="15.75" customHeight="1">
      <c r="A285" s="41"/>
      <c r="B285" s="114"/>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ht="15.75" customHeight="1">
      <c r="A286" s="41"/>
      <c r="B286" s="114"/>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ht="15.75" customHeight="1">
      <c r="A287" s="41"/>
      <c r="B287" s="114"/>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ht="15.75" customHeight="1">
      <c r="A288" s="41"/>
      <c r="B288" s="114"/>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ht="15.75" customHeight="1">
      <c r="A289" s="41"/>
      <c r="B289" s="114"/>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ht="15.75" customHeight="1">
      <c r="A290" s="41"/>
      <c r="B290" s="114"/>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ht="15.75" customHeight="1">
      <c r="A291" s="41"/>
      <c r="B291" s="114"/>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ht="15.75" customHeight="1">
      <c r="A292" s="41"/>
      <c r="B292" s="114"/>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ht="15.75" customHeight="1">
      <c r="A293" s="41"/>
      <c r="B293" s="114"/>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ht="15.75" customHeight="1">
      <c r="A294" s="41"/>
      <c r="B294" s="114"/>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ht="15.75" customHeight="1">
      <c r="A295" s="41"/>
      <c r="B295" s="114"/>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ht="15.75" customHeight="1">
      <c r="A296" s="41"/>
      <c r="B296" s="114"/>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ht="15.75" customHeight="1">
      <c r="A297" s="41"/>
      <c r="B297" s="114"/>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ht="15.75" customHeight="1">
      <c r="A298" s="41"/>
      <c r="B298" s="114"/>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ht="15.75" customHeight="1">
      <c r="A299" s="41"/>
      <c r="B299" s="114"/>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ht="15.75" customHeight="1">
      <c r="A300" s="41"/>
      <c r="B300" s="114"/>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ht="15.75" customHeight="1">
      <c r="A301" s="41"/>
      <c r="B301" s="114"/>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ht="15.75" customHeight="1">
      <c r="A302" s="41"/>
      <c r="B302" s="114"/>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ht="15.75" customHeight="1">
      <c r="A303" s="41"/>
      <c r="B303" s="114"/>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ht="15.75" customHeight="1">
      <c r="A304" s="41"/>
      <c r="B304" s="114"/>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ht="15.75" customHeight="1">
      <c r="A305" s="41"/>
      <c r="B305" s="114"/>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ht="15.75" customHeight="1">
      <c r="A306" s="41"/>
      <c r="B306" s="114"/>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ht="15.75" customHeight="1">
      <c r="A307" s="41"/>
      <c r="B307" s="114"/>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ht="15.75" customHeight="1">
      <c r="A308" s="41"/>
      <c r="B308" s="114"/>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ht="15.75" customHeight="1">
      <c r="A309" s="41"/>
      <c r="B309" s="114"/>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ht="15.75" customHeight="1">
      <c r="A310" s="41"/>
      <c r="B310" s="114"/>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ht="15.75" customHeight="1">
      <c r="A311" s="41"/>
      <c r="B311" s="114"/>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ht="15.75" customHeight="1">
      <c r="A312" s="41"/>
      <c r="B312" s="114"/>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ht="15.75" customHeight="1">
      <c r="A313" s="41"/>
      <c r="B313" s="114"/>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ht="15.75" customHeight="1">
      <c r="A314" s="41"/>
      <c r="B314" s="114"/>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ht="15.75" customHeight="1">
      <c r="A315" s="41"/>
      <c r="B315" s="114"/>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ht="15.75" customHeight="1">
      <c r="A316" s="41"/>
      <c r="B316" s="114"/>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ht="15.75" customHeight="1">
      <c r="A317" s="41"/>
      <c r="B317" s="114"/>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ht="15.75" customHeight="1">
      <c r="A318" s="41"/>
      <c r="B318" s="114"/>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ht="15.75" customHeight="1">
      <c r="A319" s="41"/>
      <c r="B319" s="114"/>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ht="15.75" customHeight="1">
      <c r="A320" s="41"/>
      <c r="B320" s="114"/>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ht="15.75" customHeight="1">
      <c r="A321" s="41"/>
      <c r="B321" s="114"/>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ht="15.75" customHeight="1">
      <c r="A322" s="41"/>
      <c r="B322" s="114"/>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ht="15.75" customHeight="1">
      <c r="A323" s="41"/>
      <c r="B323" s="114"/>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ht="15.75" customHeight="1">
      <c r="A324" s="41"/>
      <c r="B324" s="114"/>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ht="15.75" customHeight="1">
      <c r="A325" s="41"/>
      <c r="B325" s="114"/>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ht="15.75" customHeight="1">
      <c r="A326" s="41"/>
      <c r="B326" s="114"/>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ht="15.75" customHeight="1">
      <c r="A327" s="41"/>
      <c r="B327" s="114"/>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ht="15.75" customHeight="1">
      <c r="A328" s="41"/>
      <c r="B328" s="114"/>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ht="15.75" customHeight="1">
      <c r="A329" s="41"/>
      <c r="B329" s="114"/>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ht="15.75" customHeight="1">
      <c r="A330" s="41"/>
      <c r="B330" s="114"/>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ht="15.75" customHeight="1">
      <c r="A331" s="41"/>
      <c r="B331" s="114"/>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ht="15.75" customHeight="1">
      <c r="A332" s="41"/>
      <c r="B332" s="114"/>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ht="15.75" customHeight="1">
      <c r="A333" s="41"/>
      <c r="B333" s="114"/>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ht="15.75" customHeight="1">
      <c r="A334" s="41"/>
      <c r="B334" s="114"/>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ht="15.75" customHeight="1">
      <c r="A335" s="41"/>
      <c r="B335" s="114"/>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ht="15.75" customHeight="1">
      <c r="A336" s="41"/>
      <c r="B336" s="114"/>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ht="15.75" customHeight="1">
      <c r="A337" s="41"/>
      <c r="B337" s="114"/>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ht="15.75" customHeight="1">
      <c r="A338" s="41"/>
      <c r="B338" s="114"/>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ht="15.75" customHeight="1">
      <c r="A339" s="41"/>
      <c r="B339" s="114"/>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ht="15.75" customHeight="1">
      <c r="A340" s="41"/>
      <c r="B340" s="114"/>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ht="15.75" customHeight="1">
      <c r="A341" s="41"/>
      <c r="B341" s="114"/>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ht="15.75" customHeight="1">
      <c r="A342" s="41"/>
      <c r="B342" s="114"/>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ht="15.75" customHeight="1">
      <c r="A343" s="41"/>
      <c r="B343" s="114"/>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ht="15.75" customHeight="1">
      <c r="A344" s="41"/>
      <c r="B344" s="114"/>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ht="15.75" customHeight="1">
      <c r="A345" s="41"/>
      <c r="B345" s="114"/>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ht="15.75" customHeight="1">
      <c r="A346" s="41"/>
      <c r="B346" s="114"/>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ht="15.75" customHeight="1">
      <c r="A347" s="41"/>
      <c r="B347" s="114"/>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ht="15.75" customHeight="1">
      <c r="A348" s="41"/>
      <c r="B348" s="114"/>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ht="15.75" customHeight="1">
      <c r="A349" s="41"/>
      <c r="B349" s="114"/>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ht="15.75" customHeight="1">
      <c r="A350" s="41"/>
      <c r="B350" s="114"/>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ht="15.75" customHeight="1">
      <c r="A351" s="41"/>
      <c r="B351" s="114"/>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ht="15.75" customHeight="1">
      <c r="A352" s="41"/>
      <c r="B352" s="114"/>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ht="15.75" customHeight="1">
      <c r="A353" s="41"/>
      <c r="B353" s="114"/>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ht="15.75" customHeight="1">
      <c r="A354" s="41"/>
      <c r="B354" s="114"/>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ht="15.75" customHeight="1">
      <c r="A355" s="41"/>
      <c r="B355" s="114"/>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ht="15.75" customHeight="1">
      <c r="A356" s="41"/>
      <c r="B356" s="114"/>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ht="15.75" customHeight="1">
      <c r="A357" s="41"/>
      <c r="B357" s="114"/>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ht="15.75" customHeight="1">
      <c r="A358" s="41"/>
      <c r="B358" s="114"/>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ht="15.75" customHeight="1">
      <c r="A359" s="41"/>
      <c r="B359" s="114"/>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ht="15.75" customHeight="1">
      <c r="A360" s="41"/>
      <c r="B360" s="114"/>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ht="15.75" customHeight="1">
      <c r="A361" s="41"/>
      <c r="B361" s="114"/>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ht="15.75" customHeight="1">
      <c r="A362" s="41"/>
      <c r="B362" s="114"/>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ht="15.75" customHeight="1">
      <c r="A363" s="41"/>
      <c r="B363" s="114"/>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ht="15.75" customHeight="1">
      <c r="A364" s="41"/>
      <c r="B364" s="114"/>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ht="15.75" customHeight="1">
      <c r="A365" s="41"/>
      <c r="B365" s="114"/>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ht="15.75" customHeight="1">
      <c r="A366" s="41"/>
      <c r="B366" s="114"/>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ht="15.75" customHeight="1">
      <c r="A367" s="41"/>
      <c r="B367" s="114"/>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ht="15.75" customHeight="1">
      <c r="A368" s="41"/>
      <c r="B368" s="114"/>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ht="15.75" customHeight="1">
      <c r="A369" s="41"/>
      <c r="B369" s="114"/>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ht="15.75" customHeight="1">
      <c r="A370" s="41"/>
      <c r="B370" s="114"/>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ht="15.75" customHeight="1">
      <c r="A371" s="41"/>
      <c r="B371" s="114"/>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ht="15.75" customHeight="1">
      <c r="A372" s="41"/>
      <c r="B372" s="114"/>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ht="15.75" customHeight="1">
      <c r="A373" s="41"/>
      <c r="B373" s="114"/>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ht="15.75" customHeight="1">
      <c r="A374" s="41"/>
      <c r="B374" s="114"/>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ht="15.75" customHeight="1">
      <c r="A375" s="41"/>
      <c r="B375" s="114"/>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ht="15.75" customHeight="1">
      <c r="A376" s="41"/>
      <c r="B376" s="114"/>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ht="15.75" customHeight="1">
      <c r="A377" s="41"/>
      <c r="B377" s="114"/>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ht="15.75" customHeight="1">
      <c r="A378" s="41"/>
      <c r="B378" s="114"/>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ht="15.75" customHeight="1">
      <c r="A379" s="41"/>
      <c r="B379" s="114"/>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ht="15.75" customHeight="1">
      <c r="A380" s="41"/>
      <c r="B380" s="114"/>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ht="15.75" customHeight="1">
      <c r="A381" s="41"/>
      <c r="B381" s="114"/>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ht="15.75" customHeight="1">
      <c r="A382" s="41"/>
      <c r="B382" s="114"/>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ht="15.75" customHeight="1">
      <c r="A383" s="41"/>
      <c r="B383" s="114"/>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ht="15.75" customHeight="1">
      <c r="A384" s="41"/>
      <c r="B384" s="114"/>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ht="15.75" customHeight="1">
      <c r="A385" s="41"/>
      <c r="B385" s="114"/>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ht="15.75" customHeight="1">
      <c r="A386" s="41"/>
      <c r="B386" s="114"/>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ht="15.75" customHeight="1">
      <c r="A387" s="41"/>
      <c r="B387" s="114"/>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ht="15.75" customHeight="1">
      <c r="A388" s="41"/>
      <c r="B388" s="114"/>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ht="15.75" customHeight="1">
      <c r="A389" s="41"/>
      <c r="B389" s="114"/>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ht="15.75" customHeight="1">
      <c r="A390" s="41"/>
      <c r="B390" s="114"/>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ht="15.75" customHeight="1">
      <c r="A391" s="41"/>
      <c r="B391" s="114"/>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ht="15.75" customHeight="1">
      <c r="A392" s="41"/>
      <c r="B392" s="114"/>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ht="15.75" customHeight="1">
      <c r="A393" s="41"/>
      <c r="B393" s="114"/>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ht="15.75" customHeight="1">
      <c r="A394" s="41"/>
      <c r="B394" s="114"/>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ht="15.75" customHeight="1">
      <c r="A395" s="41"/>
      <c r="B395" s="114"/>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ht="15.75" customHeight="1">
      <c r="A396" s="41"/>
      <c r="B396" s="114"/>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ht="15.75" customHeight="1">
      <c r="A397" s="41"/>
      <c r="B397" s="114"/>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ht="15.75" customHeight="1">
      <c r="A398" s="41"/>
      <c r="B398" s="114"/>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ht="15.75" customHeight="1">
      <c r="A399" s="41"/>
      <c r="B399" s="114"/>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ht="15.75" customHeight="1">
      <c r="A400" s="41"/>
      <c r="B400" s="114"/>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ht="15.75" customHeight="1">
      <c r="A401" s="41"/>
      <c r="B401" s="114"/>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ht="15.75" customHeight="1">
      <c r="A402" s="41"/>
      <c r="B402" s="114"/>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ht="15.75" customHeight="1">
      <c r="A403" s="41"/>
      <c r="B403" s="114"/>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ht="15.75" customHeight="1">
      <c r="A404" s="41"/>
      <c r="B404" s="114"/>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ht="15.75" customHeight="1">
      <c r="A405" s="41"/>
      <c r="B405" s="114"/>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ht="15.75" customHeight="1">
      <c r="A406" s="41"/>
      <c r="B406" s="114"/>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ht="15.75" customHeight="1">
      <c r="A407" s="41"/>
      <c r="B407" s="114"/>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ht="15.75" customHeight="1">
      <c r="A408" s="41"/>
      <c r="B408" s="114"/>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ht="15.75" customHeight="1">
      <c r="A409" s="41"/>
      <c r="B409" s="114"/>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ht="15.75" customHeight="1">
      <c r="A410" s="41"/>
      <c r="B410" s="114"/>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ht="15.75" customHeight="1">
      <c r="A411" s="41"/>
      <c r="B411" s="114"/>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ht="15.75" customHeight="1">
      <c r="A412" s="41"/>
      <c r="B412" s="114"/>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ht="15.75" customHeight="1">
      <c r="A413" s="41"/>
      <c r="B413" s="114"/>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ht="15.75" customHeight="1">
      <c r="A414" s="41"/>
      <c r="B414" s="114"/>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ht="15.75" customHeight="1">
      <c r="A415" s="41"/>
      <c r="B415" s="114"/>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ht="15.75" customHeight="1">
      <c r="A416" s="41"/>
      <c r="B416" s="114"/>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ht="15.75" customHeight="1">
      <c r="A417" s="41"/>
      <c r="B417" s="114"/>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ht="15.75" customHeight="1">
      <c r="A418" s="41"/>
      <c r="B418" s="114"/>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ht="15.75" customHeight="1">
      <c r="A419" s="41"/>
      <c r="B419" s="114"/>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ht="15.75" customHeight="1">
      <c r="A420" s="41"/>
      <c r="B420" s="114"/>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ht="15.75" customHeight="1">
      <c r="A421" s="41"/>
      <c r="B421" s="114"/>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ht="15.75" customHeight="1">
      <c r="A422" s="41"/>
      <c r="B422" s="114"/>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ht="15.75" customHeight="1">
      <c r="A423" s="41"/>
      <c r="B423" s="114"/>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ht="15.75" customHeight="1">
      <c r="A424" s="41"/>
      <c r="B424" s="114"/>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ht="15.75" customHeight="1">
      <c r="A425" s="41"/>
      <c r="B425" s="114"/>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ht="15.75" customHeight="1">
      <c r="A426" s="41"/>
      <c r="B426" s="114"/>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ht="15.75" customHeight="1">
      <c r="A427" s="41"/>
      <c r="B427" s="114"/>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ht="15.75" customHeight="1">
      <c r="A428" s="41"/>
      <c r="B428" s="114"/>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ht="15.75" customHeight="1">
      <c r="A429" s="41"/>
      <c r="B429" s="114"/>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ht="15.75" customHeight="1">
      <c r="A430" s="41"/>
      <c r="B430" s="114"/>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ht="15.75" customHeight="1">
      <c r="A431" s="41"/>
      <c r="B431" s="114"/>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ht="15.75" customHeight="1">
      <c r="A432" s="41"/>
      <c r="B432" s="114"/>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ht="15.75" customHeight="1">
      <c r="A433" s="41"/>
      <c r="B433" s="114"/>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ht="15.75" customHeight="1">
      <c r="A434" s="41"/>
      <c r="B434" s="114"/>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ht="15.75" customHeight="1">
      <c r="A435" s="41"/>
      <c r="B435" s="114"/>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ht="15.75" customHeight="1">
      <c r="A436" s="41"/>
      <c r="B436" s="114"/>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ht="15.75" customHeight="1">
      <c r="A437" s="41"/>
      <c r="B437" s="114"/>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ht="15.75" customHeight="1">
      <c r="A438" s="41"/>
      <c r="B438" s="114"/>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ht="15.75" customHeight="1">
      <c r="A439" s="41"/>
      <c r="B439" s="114"/>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ht="15.75" customHeight="1">
      <c r="A440" s="41"/>
      <c r="B440" s="114"/>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ht="15.75" customHeight="1">
      <c r="A441" s="41"/>
      <c r="B441" s="114"/>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ht="15.75" customHeight="1">
      <c r="A442" s="41"/>
      <c r="B442" s="114"/>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ht="15.75" customHeight="1">
      <c r="A443" s="41"/>
      <c r="B443" s="114"/>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ht="15.75" customHeight="1">
      <c r="A444" s="41"/>
      <c r="B444" s="114"/>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ht="15.75" customHeight="1">
      <c r="A445" s="41"/>
      <c r="B445" s="114"/>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ht="15.75" customHeight="1">
      <c r="A446" s="41"/>
      <c r="B446" s="114"/>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ht="15.75" customHeight="1">
      <c r="A447" s="41"/>
      <c r="B447" s="114"/>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ht="15.75" customHeight="1">
      <c r="A448" s="41"/>
      <c r="B448" s="114"/>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ht="15.75" customHeight="1">
      <c r="A449" s="41"/>
      <c r="B449" s="114"/>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ht="15.75" customHeight="1">
      <c r="A450" s="41"/>
      <c r="B450" s="114"/>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ht="15.75" customHeight="1">
      <c r="A451" s="41"/>
      <c r="B451" s="114"/>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ht="15.75" customHeight="1">
      <c r="A452" s="41"/>
      <c r="B452" s="114"/>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ht="15.75" customHeight="1">
      <c r="A453" s="41"/>
      <c r="B453" s="114"/>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ht="15.75" customHeight="1">
      <c r="A454" s="41"/>
      <c r="B454" s="114"/>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ht="15.75" customHeight="1">
      <c r="A455" s="41"/>
      <c r="B455" s="114"/>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ht="15.75" customHeight="1">
      <c r="A456" s="41"/>
      <c r="B456" s="114"/>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ht="15.75" customHeight="1">
      <c r="A457" s="41"/>
      <c r="B457" s="114"/>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ht="15.75" customHeight="1">
      <c r="A458" s="41"/>
      <c r="B458" s="114"/>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ht="15.75" customHeight="1">
      <c r="A459" s="41"/>
      <c r="B459" s="114"/>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ht="15.75" customHeight="1">
      <c r="A460" s="41"/>
      <c r="B460" s="114"/>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ht="15.75" customHeight="1">
      <c r="A461" s="41"/>
      <c r="B461" s="114"/>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ht="15.75" customHeight="1">
      <c r="A462" s="41"/>
      <c r="B462" s="114"/>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ht="15.75" customHeight="1">
      <c r="A463" s="41"/>
      <c r="B463" s="114"/>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ht="15.75" customHeight="1">
      <c r="A464" s="41"/>
      <c r="B464" s="114"/>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ht="15.75" customHeight="1">
      <c r="A465" s="41"/>
      <c r="B465" s="114"/>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ht="15.75" customHeight="1">
      <c r="A466" s="41"/>
      <c r="B466" s="114"/>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ht="15.75" customHeight="1">
      <c r="A467" s="41"/>
      <c r="B467" s="114"/>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ht="15.75" customHeight="1">
      <c r="A468" s="41"/>
      <c r="B468" s="114"/>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ht="15.75" customHeight="1">
      <c r="A469" s="41"/>
      <c r="B469" s="114"/>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ht="15.75" customHeight="1">
      <c r="A470" s="41"/>
      <c r="B470" s="114"/>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ht="15.75" customHeight="1">
      <c r="A471" s="41"/>
      <c r="B471" s="114"/>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ht="15.75" customHeight="1">
      <c r="A472" s="41"/>
      <c r="B472" s="114"/>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ht="15.75" customHeight="1">
      <c r="A473" s="41"/>
      <c r="B473" s="114"/>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ht="15.75" customHeight="1">
      <c r="A474" s="41"/>
      <c r="B474" s="114"/>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ht="15.75" customHeight="1">
      <c r="A475" s="41"/>
      <c r="B475" s="114"/>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ht="15.75" customHeight="1">
      <c r="A476" s="41"/>
      <c r="B476" s="114"/>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ht="15.75" customHeight="1">
      <c r="A477" s="41"/>
      <c r="B477" s="114"/>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ht="15.75" customHeight="1">
      <c r="A478" s="41"/>
      <c r="B478" s="114"/>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ht="15.75" customHeight="1">
      <c r="A479" s="41"/>
      <c r="B479" s="114"/>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ht="15.75" customHeight="1">
      <c r="A480" s="41"/>
      <c r="B480" s="114"/>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ht="15.75" customHeight="1">
      <c r="A481" s="41"/>
      <c r="B481" s="114"/>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ht="15.75" customHeight="1">
      <c r="A482" s="41"/>
      <c r="B482" s="114"/>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ht="15.75" customHeight="1">
      <c r="A483" s="41"/>
      <c r="B483" s="114"/>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ht="15.75" customHeight="1">
      <c r="A484" s="41"/>
      <c r="B484" s="114"/>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ht="15.75" customHeight="1">
      <c r="A485" s="41"/>
      <c r="B485" s="114"/>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ht="15.75" customHeight="1">
      <c r="A486" s="41"/>
      <c r="B486" s="114"/>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ht="15.75" customHeight="1">
      <c r="A487" s="41"/>
      <c r="B487" s="114"/>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ht="15.75" customHeight="1">
      <c r="A488" s="41"/>
      <c r="B488" s="114"/>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ht="15.75" customHeight="1">
      <c r="A489" s="41"/>
      <c r="B489" s="114"/>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ht="15.75" customHeight="1">
      <c r="A490" s="41"/>
      <c r="B490" s="114"/>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ht="15.75" customHeight="1">
      <c r="A491" s="41"/>
      <c r="B491" s="114"/>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ht="15.75" customHeight="1">
      <c r="A492" s="41"/>
      <c r="B492" s="114"/>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ht="15.75" customHeight="1">
      <c r="A493" s="41"/>
      <c r="B493" s="114"/>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ht="15.75" customHeight="1">
      <c r="A494" s="41"/>
      <c r="B494" s="114"/>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ht="15.75" customHeight="1">
      <c r="A495" s="41"/>
      <c r="B495" s="114"/>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ht="15.75" customHeight="1">
      <c r="A496" s="41"/>
      <c r="B496" s="114"/>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ht="15.75" customHeight="1">
      <c r="A497" s="41"/>
      <c r="B497" s="114"/>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ht="15.75" customHeight="1">
      <c r="A498" s="41"/>
      <c r="B498" s="114"/>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ht="15.75" customHeight="1">
      <c r="A499" s="41"/>
      <c r="B499" s="114"/>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ht="15.75" customHeight="1">
      <c r="A500" s="41"/>
      <c r="B500" s="114"/>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ht="15.75" customHeight="1">
      <c r="A501" s="41"/>
      <c r="B501" s="114"/>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ht="15.75" customHeight="1">
      <c r="A502" s="41"/>
      <c r="B502" s="114"/>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ht="15.75" customHeight="1">
      <c r="A503" s="41"/>
      <c r="B503" s="114"/>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ht="15.75" customHeight="1">
      <c r="A504" s="41"/>
      <c r="B504" s="114"/>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ht="15.75" customHeight="1">
      <c r="A505" s="41"/>
      <c r="B505" s="114"/>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ht="15.75" customHeight="1">
      <c r="A506" s="41"/>
      <c r="B506" s="114"/>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ht="15.75" customHeight="1">
      <c r="A507" s="41"/>
      <c r="B507" s="114"/>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ht="15.75" customHeight="1">
      <c r="A508" s="41"/>
      <c r="B508" s="114"/>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ht="15.75" customHeight="1">
      <c r="A509" s="41"/>
      <c r="B509" s="114"/>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ht="15.75" customHeight="1">
      <c r="A510" s="41"/>
      <c r="B510" s="114"/>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ht="15.75" customHeight="1">
      <c r="A511" s="41"/>
      <c r="B511" s="114"/>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ht="15.75" customHeight="1">
      <c r="A512" s="41"/>
      <c r="B512" s="114"/>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ht="15.75" customHeight="1">
      <c r="A513" s="41"/>
      <c r="B513" s="114"/>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ht="15.75" customHeight="1">
      <c r="A514" s="41"/>
      <c r="B514" s="114"/>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ht="15.75" customHeight="1">
      <c r="A515" s="41"/>
      <c r="B515" s="114"/>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ht="15.75" customHeight="1">
      <c r="A516" s="41"/>
      <c r="B516" s="114"/>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ht="15.75" customHeight="1">
      <c r="A517" s="41"/>
      <c r="B517" s="114"/>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ht="15.75" customHeight="1">
      <c r="A518" s="41"/>
      <c r="B518" s="114"/>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ht="15.75" customHeight="1">
      <c r="A519" s="41"/>
      <c r="B519" s="114"/>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ht="15.75" customHeight="1">
      <c r="A520" s="41"/>
      <c r="B520" s="114"/>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ht="15.75" customHeight="1">
      <c r="A521" s="41"/>
      <c r="B521" s="114"/>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ht="15.75" customHeight="1">
      <c r="A522" s="41"/>
      <c r="B522" s="114"/>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ht="15.75" customHeight="1">
      <c r="A523" s="41"/>
      <c r="B523" s="114"/>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ht="15.75" customHeight="1">
      <c r="A524" s="41"/>
      <c r="B524" s="114"/>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ht="15.75" customHeight="1">
      <c r="A525" s="41"/>
      <c r="B525" s="114"/>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ht="15.75" customHeight="1">
      <c r="A526" s="41"/>
      <c r="B526" s="114"/>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ht="15.75" customHeight="1">
      <c r="A527" s="41"/>
      <c r="B527" s="114"/>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ht="15.75" customHeight="1">
      <c r="A528" s="41"/>
      <c r="B528" s="114"/>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ht="15.75" customHeight="1">
      <c r="A529" s="41"/>
      <c r="B529" s="114"/>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ht="15.75" customHeight="1">
      <c r="A530" s="41"/>
      <c r="B530" s="114"/>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ht="15.75" customHeight="1">
      <c r="A531" s="41"/>
      <c r="B531" s="114"/>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ht="15.75" customHeight="1">
      <c r="A532" s="41"/>
      <c r="B532" s="114"/>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ht="15.75" customHeight="1">
      <c r="A533" s="41"/>
      <c r="B533" s="114"/>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ht="15.75" customHeight="1">
      <c r="A534" s="41"/>
      <c r="B534" s="114"/>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ht="15.75" customHeight="1">
      <c r="A535" s="41"/>
      <c r="B535" s="114"/>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ht="15.75" customHeight="1">
      <c r="A536" s="41"/>
      <c r="B536" s="114"/>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ht="15.75" customHeight="1">
      <c r="A537" s="41"/>
      <c r="B537" s="114"/>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ht="15.75" customHeight="1">
      <c r="A538" s="41"/>
      <c r="B538" s="114"/>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ht="15.75" customHeight="1">
      <c r="A539" s="41"/>
      <c r="B539" s="114"/>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ht="15.75" customHeight="1">
      <c r="A540" s="41"/>
      <c r="B540" s="114"/>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ht="15.75" customHeight="1">
      <c r="A541" s="41"/>
      <c r="B541" s="114"/>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ht="15.75" customHeight="1">
      <c r="A542" s="41"/>
      <c r="B542" s="114"/>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ht="15.75" customHeight="1">
      <c r="A543" s="41"/>
      <c r="B543" s="114"/>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ht="15.75" customHeight="1">
      <c r="A544" s="41"/>
      <c r="B544" s="114"/>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ht="15.75" customHeight="1">
      <c r="A545" s="41"/>
      <c r="B545" s="114"/>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ht="15.75" customHeight="1">
      <c r="A546" s="41"/>
      <c r="B546" s="114"/>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ht="15.75" customHeight="1">
      <c r="A547" s="41"/>
      <c r="B547" s="114"/>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ht="15.75" customHeight="1">
      <c r="A548" s="41"/>
      <c r="B548" s="114"/>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ht="15.75" customHeight="1">
      <c r="A549" s="41"/>
      <c r="B549" s="114"/>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ht="15.75" customHeight="1">
      <c r="A550" s="41"/>
      <c r="B550" s="114"/>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ht="15.75" customHeight="1">
      <c r="A551" s="41"/>
      <c r="B551" s="114"/>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ht="15.75" customHeight="1">
      <c r="A552" s="41"/>
      <c r="B552" s="114"/>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ht="15.75" customHeight="1">
      <c r="A553" s="41"/>
      <c r="B553" s="114"/>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ht="15.75" customHeight="1">
      <c r="A554" s="41"/>
      <c r="B554" s="114"/>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ht="15.75" customHeight="1">
      <c r="A555" s="41"/>
      <c r="B555" s="114"/>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ht="15.75" customHeight="1">
      <c r="A556" s="41"/>
      <c r="B556" s="114"/>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ht="15.75" customHeight="1">
      <c r="A557" s="41"/>
      <c r="B557" s="114"/>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ht="15.75" customHeight="1">
      <c r="A558" s="41"/>
      <c r="B558" s="114"/>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ht="15.75" customHeight="1">
      <c r="A559" s="41"/>
      <c r="B559" s="114"/>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ht="15.75" customHeight="1">
      <c r="A560" s="41"/>
      <c r="B560" s="114"/>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ht="15.75" customHeight="1">
      <c r="A561" s="41"/>
      <c r="B561" s="114"/>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ht="15.75" customHeight="1">
      <c r="A562" s="41"/>
      <c r="B562" s="114"/>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ht="15.75" customHeight="1">
      <c r="A563" s="41"/>
      <c r="B563" s="114"/>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ht="15.75" customHeight="1">
      <c r="A564" s="41"/>
      <c r="B564" s="114"/>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ht="15.75" customHeight="1">
      <c r="A565" s="41"/>
      <c r="B565" s="114"/>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ht="15.75" customHeight="1">
      <c r="A566" s="41"/>
      <c r="B566" s="114"/>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ht="15.75" customHeight="1">
      <c r="A567" s="41"/>
      <c r="B567" s="114"/>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ht="15.75" customHeight="1">
      <c r="A568" s="41"/>
      <c r="B568" s="114"/>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ht="15.75" customHeight="1">
      <c r="A569" s="41"/>
      <c r="B569" s="114"/>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ht="15.75" customHeight="1">
      <c r="A570" s="41"/>
      <c r="B570" s="114"/>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ht="15.75" customHeight="1">
      <c r="A571" s="41"/>
      <c r="B571" s="114"/>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ht="15.75" customHeight="1">
      <c r="A572" s="41"/>
      <c r="B572" s="114"/>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ht="15.75" customHeight="1">
      <c r="A573" s="41"/>
      <c r="B573" s="114"/>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ht="15.75" customHeight="1">
      <c r="A574" s="41"/>
      <c r="B574" s="114"/>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ht="15.75" customHeight="1">
      <c r="A575" s="41"/>
      <c r="B575" s="114"/>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ht="15.75" customHeight="1">
      <c r="A576" s="41"/>
      <c r="B576" s="114"/>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ht="15.75" customHeight="1">
      <c r="A577" s="41"/>
      <c r="B577" s="114"/>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ht="15.75" customHeight="1">
      <c r="A578" s="41"/>
      <c r="B578" s="114"/>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ht="15.75" customHeight="1">
      <c r="A579" s="41"/>
      <c r="B579" s="114"/>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ht="15.75" customHeight="1">
      <c r="A580" s="41"/>
      <c r="B580" s="114"/>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ht="15.75" customHeight="1">
      <c r="A581" s="41"/>
      <c r="B581" s="114"/>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ht="15.75" customHeight="1">
      <c r="A582" s="41"/>
      <c r="B582" s="114"/>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ht="15.75" customHeight="1">
      <c r="A583" s="41"/>
      <c r="B583" s="114"/>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ht="15.75" customHeight="1">
      <c r="A584" s="41"/>
      <c r="B584" s="114"/>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ht="15.75" customHeight="1">
      <c r="A585" s="41"/>
      <c r="B585" s="114"/>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ht="15.75" customHeight="1">
      <c r="A586" s="41"/>
      <c r="B586" s="114"/>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ht="15.75" customHeight="1">
      <c r="A587" s="41"/>
      <c r="B587" s="114"/>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ht="15.75" customHeight="1">
      <c r="A588" s="41"/>
      <c r="B588" s="114"/>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ht="15.75" customHeight="1">
      <c r="A589" s="41"/>
      <c r="B589" s="114"/>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ht="15.75" customHeight="1">
      <c r="A590" s="41"/>
      <c r="B590" s="114"/>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ht="15.75" customHeight="1">
      <c r="A591" s="41"/>
      <c r="B591" s="114"/>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ht="15.75" customHeight="1">
      <c r="A592" s="41"/>
      <c r="B592" s="114"/>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ht="15.75" customHeight="1">
      <c r="A593" s="41"/>
      <c r="B593" s="114"/>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ht="15.75" customHeight="1">
      <c r="A594" s="41"/>
      <c r="B594" s="114"/>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ht="15.75" customHeight="1">
      <c r="A595" s="41"/>
      <c r="B595" s="114"/>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ht="15.75" customHeight="1">
      <c r="A596" s="41"/>
      <c r="B596" s="114"/>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ht="15.75" customHeight="1">
      <c r="A597" s="41"/>
      <c r="B597" s="114"/>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ht="15.75" customHeight="1">
      <c r="A598" s="41"/>
      <c r="B598" s="114"/>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ht="15.75" customHeight="1">
      <c r="A599" s="41"/>
      <c r="B599" s="114"/>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ht="15.75" customHeight="1">
      <c r="A600" s="41"/>
      <c r="B600" s="114"/>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ht="15.75" customHeight="1">
      <c r="A601" s="41"/>
      <c r="B601" s="114"/>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ht="15.75" customHeight="1">
      <c r="A602" s="41"/>
      <c r="B602" s="114"/>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ht="15.75" customHeight="1">
      <c r="A603" s="41"/>
      <c r="B603" s="114"/>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ht="15.75" customHeight="1">
      <c r="A604" s="41"/>
      <c r="B604" s="114"/>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ht="15.75" customHeight="1">
      <c r="A605" s="41"/>
      <c r="B605" s="114"/>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ht="15.75" customHeight="1">
      <c r="A606" s="41"/>
      <c r="B606" s="114"/>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ht="15.75" customHeight="1">
      <c r="A607" s="41"/>
      <c r="B607" s="114"/>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ht="15.75" customHeight="1">
      <c r="A608" s="41"/>
      <c r="B608" s="114"/>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ht="15.75" customHeight="1">
      <c r="A609" s="41"/>
      <c r="B609" s="114"/>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ht="15.75" customHeight="1">
      <c r="A610" s="41"/>
      <c r="B610" s="114"/>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ht="15.75" customHeight="1">
      <c r="A611" s="41"/>
      <c r="B611" s="114"/>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ht="15.75" customHeight="1">
      <c r="A612" s="41"/>
      <c r="B612" s="114"/>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ht="15.75" customHeight="1">
      <c r="A613" s="41"/>
      <c r="B613" s="114"/>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ht="15.75" customHeight="1">
      <c r="A614" s="41"/>
      <c r="B614" s="114"/>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ht="15.75" customHeight="1">
      <c r="A615" s="41"/>
      <c r="B615" s="114"/>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ht="15.75" customHeight="1">
      <c r="A616" s="41"/>
      <c r="B616" s="114"/>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ht="15.75" customHeight="1">
      <c r="A617" s="41"/>
      <c r="B617" s="114"/>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ht="15.75" customHeight="1">
      <c r="A618" s="41"/>
      <c r="B618" s="114"/>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ht="15.75" customHeight="1">
      <c r="A619" s="41"/>
      <c r="B619" s="114"/>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ht="15.75" customHeight="1">
      <c r="A620" s="41"/>
      <c r="B620" s="114"/>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ht="15.75" customHeight="1">
      <c r="A621" s="41"/>
      <c r="B621" s="114"/>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ht="15.75" customHeight="1">
      <c r="A622" s="41"/>
      <c r="B622" s="114"/>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ht="15.75" customHeight="1">
      <c r="A623" s="41"/>
      <c r="B623" s="114"/>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ht="15.75" customHeight="1">
      <c r="A624" s="41"/>
      <c r="B624" s="114"/>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ht="15.75" customHeight="1">
      <c r="A625" s="41"/>
      <c r="B625" s="114"/>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ht="15.75" customHeight="1">
      <c r="A626" s="41"/>
      <c r="B626" s="114"/>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ht="15.75" customHeight="1">
      <c r="A627" s="41"/>
      <c r="B627" s="114"/>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ht="15.75" customHeight="1">
      <c r="A628" s="41"/>
      <c r="B628" s="114"/>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ht="15.75" customHeight="1">
      <c r="A629" s="41"/>
      <c r="B629" s="114"/>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ht="15.75" customHeight="1">
      <c r="A630" s="41"/>
      <c r="B630" s="114"/>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ht="15.75" customHeight="1">
      <c r="A631" s="41"/>
      <c r="B631" s="114"/>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ht="15.75" customHeight="1">
      <c r="A632" s="41"/>
      <c r="B632" s="114"/>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ht="15.75" customHeight="1">
      <c r="A633" s="41"/>
      <c r="B633" s="114"/>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ht="15.75" customHeight="1">
      <c r="A634" s="41"/>
      <c r="B634" s="114"/>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ht="15.75" customHeight="1">
      <c r="A635" s="41"/>
      <c r="B635" s="114"/>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ht="15.75" customHeight="1">
      <c r="A636" s="41"/>
      <c r="B636" s="114"/>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ht="15.75" customHeight="1">
      <c r="A637" s="41"/>
      <c r="B637" s="114"/>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ht="15.75" customHeight="1">
      <c r="A638" s="41"/>
      <c r="B638" s="114"/>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ht="15.75" customHeight="1">
      <c r="A639" s="41"/>
      <c r="B639" s="114"/>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ht="15.75" customHeight="1">
      <c r="A640" s="41"/>
      <c r="B640" s="114"/>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ht="15.75" customHeight="1">
      <c r="A641" s="41"/>
      <c r="B641" s="114"/>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ht="15.75" customHeight="1">
      <c r="A642" s="41"/>
      <c r="B642" s="114"/>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ht="15.75" customHeight="1">
      <c r="A643" s="41"/>
      <c r="B643" s="114"/>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ht="15.75" customHeight="1">
      <c r="A644" s="41"/>
      <c r="B644" s="114"/>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ht="15.75" customHeight="1">
      <c r="A645" s="41"/>
      <c r="B645" s="114"/>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ht="15.75" customHeight="1">
      <c r="A646" s="41"/>
      <c r="B646" s="114"/>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ht="15.75" customHeight="1">
      <c r="A647" s="41"/>
      <c r="B647" s="114"/>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ht="15.75" customHeight="1">
      <c r="A648" s="41"/>
      <c r="B648" s="114"/>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ht="15.75" customHeight="1">
      <c r="A649" s="41"/>
      <c r="B649" s="114"/>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ht="15.75" customHeight="1">
      <c r="A650" s="41"/>
      <c r="B650" s="114"/>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ht="15.75" customHeight="1">
      <c r="A651" s="41"/>
      <c r="B651" s="114"/>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ht="15.75" customHeight="1">
      <c r="A652" s="41"/>
      <c r="B652" s="114"/>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ht="15.75" customHeight="1">
      <c r="A653" s="41"/>
      <c r="B653" s="114"/>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ht="15.75" customHeight="1">
      <c r="A654" s="41"/>
      <c r="B654" s="114"/>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ht="15.75" customHeight="1">
      <c r="A655" s="41"/>
      <c r="B655" s="114"/>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ht="15.75" customHeight="1">
      <c r="A656" s="41"/>
      <c r="B656" s="114"/>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ht="15.75" customHeight="1">
      <c r="A657" s="41"/>
      <c r="B657" s="114"/>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ht="15.75" customHeight="1">
      <c r="A658" s="41"/>
      <c r="B658" s="114"/>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ht="15.75" customHeight="1">
      <c r="A659" s="41"/>
      <c r="B659" s="114"/>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ht="15.75" customHeight="1">
      <c r="A660" s="41"/>
      <c r="B660" s="114"/>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ht="15.75" customHeight="1">
      <c r="A661" s="41"/>
      <c r="B661" s="114"/>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ht="15.75" customHeight="1">
      <c r="A662" s="41"/>
      <c r="B662" s="114"/>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ht="15.75" customHeight="1">
      <c r="A663" s="41"/>
      <c r="B663" s="114"/>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ht="15.75" customHeight="1">
      <c r="A664" s="41"/>
      <c r="B664" s="114"/>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ht="15.75" customHeight="1">
      <c r="A665" s="41"/>
      <c r="B665" s="114"/>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ht="15.75" customHeight="1">
      <c r="A666" s="41"/>
      <c r="B666" s="114"/>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ht="15.75" customHeight="1">
      <c r="A667" s="41"/>
      <c r="B667" s="114"/>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ht="15.75" customHeight="1">
      <c r="A668" s="41"/>
      <c r="B668" s="114"/>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ht="15.75" customHeight="1">
      <c r="A669" s="41"/>
      <c r="B669" s="114"/>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ht="15.75" customHeight="1">
      <c r="A670" s="41"/>
      <c r="B670" s="114"/>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ht="15.75" customHeight="1">
      <c r="A671" s="41"/>
      <c r="B671" s="114"/>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ht="15.75" customHeight="1">
      <c r="A672" s="41"/>
      <c r="B672" s="114"/>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ht="15.75" customHeight="1">
      <c r="A673" s="41"/>
      <c r="B673" s="114"/>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ht="15.75" customHeight="1">
      <c r="A674" s="41"/>
      <c r="B674" s="114"/>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ht="15.75" customHeight="1">
      <c r="A675" s="41"/>
      <c r="B675" s="114"/>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ht="15.75" customHeight="1">
      <c r="A676" s="41"/>
      <c r="B676" s="114"/>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ht="15.75" customHeight="1">
      <c r="A677" s="41"/>
      <c r="B677" s="114"/>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ht="15.75" customHeight="1">
      <c r="A678" s="41"/>
      <c r="B678" s="114"/>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ht="15.75" customHeight="1">
      <c r="A679" s="41"/>
      <c r="B679" s="114"/>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ht="15.75" customHeight="1">
      <c r="A680" s="41"/>
      <c r="B680" s="114"/>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ht="15.75" customHeight="1">
      <c r="A681" s="41"/>
      <c r="B681" s="114"/>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ht="15.75" customHeight="1">
      <c r="A682" s="41"/>
      <c r="B682" s="114"/>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ht="15.75" customHeight="1">
      <c r="A683" s="41"/>
      <c r="B683" s="114"/>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ht="15.75" customHeight="1">
      <c r="A684" s="41"/>
      <c r="B684" s="114"/>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ht="15.75" customHeight="1">
      <c r="A685" s="41"/>
      <c r="B685" s="114"/>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ht="15.75" customHeight="1">
      <c r="A686" s="41"/>
      <c r="B686" s="114"/>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ht="15.75" customHeight="1">
      <c r="A687" s="41"/>
      <c r="B687" s="114"/>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ht="15.75" customHeight="1">
      <c r="A688" s="41"/>
      <c r="B688" s="114"/>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ht="15.75" customHeight="1">
      <c r="A689" s="41"/>
      <c r="B689" s="114"/>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ht="15.75" customHeight="1">
      <c r="A690" s="41"/>
      <c r="B690" s="114"/>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ht="15.75" customHeight="1">
      <c r="A691" s="41"/>
      <c r="B691" s="114"/>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ht="15.75" customHeight="1">
      <c r="A692" s="41"/>
      <c r="B692" s="114"/>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ht="15.75" customHeight="1">
      <c r="A693" s="41"/>
      <c r="B693" s="114"/>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ht="15.75" customHeight="1">
      <c r="A694" s="41"/>
      <c r="B694" s="114"/>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ht="15.75" customHeight="1">
      <c r="A695" s="41"/>
      <c r="B695" s="114"/>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ht="15.75" customHeight="1">
      <c r="A696" s="41"/>
      <c r="B696" s="114"/>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ht="15.75" customHeight="1">
      <c r="A697" s="41"/>
      <c r="B697" s="114"/>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ht="15.75" customHeight="1">
      <c r="A698" s="41"/>
      <c r="B698" s="114"/>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ht="15.75" customHeight="1">
      <c r="A699" s="41"/>
      <c r="B699" s="114"/>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ht="15.75" customHeight="1">
      <c r="A700" s="41"/>
      <c r="B700" s="114"/>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ht="15.75" customHeight="1">
      <c r="A701" s="41"/>
      <c r="B701" s="114"/>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ht="15.75" customHeight="1">
      <c r="A702" s="41"/>
      <c r="B702" s="114"/>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ht="15.75" customHeight="1">
      <c r="A703" s="41"/>
      <c r="B703" s="114"/>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ht="15.75" customHeight="1">
      <c r="A704" s="41"/>
      <c r="B704" s="114"/>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ht="15.75" customHeight="1">
      <c r="A705" s="41"/>
      <c r="B705" s="114"/>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ht="15.75" customHeight="1">
      <c r="A706" s="41"/>
      <c r="B706" s="114"/>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ht="15.75" customHeight="1">
      <c r="A707" s="41"/>
      <c r="B707" s="114"/>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ht="15.75" customHeight="1">
      <c r="A708" s="41"/>
      <c r="B708" s="114"/>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ht="15.75" customHeight="1">
      <c r="A709" s="41"/>
      <c r="B709" s="114"/>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ht="15.75" customHeight="1">
      <c r="A710" s="41"/>
      <c r="B710" s="114"/>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ht="15.75" customHeight="1">
      <c r="A711" s="41"/>
      <c r="B711" s="114"/>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ht="15.75" customHeight="1">
      <c r="A712" s="41"/>
      <c r="B712" s="114"/>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ht="15.75" customHeight="1">
      <c r="A713" s="41"/>
      <c r="B713" s="114"/>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ht="15.75" customHeight="1">
      <c r="A714" s="41"/>
      <c r="B714" s="114"/>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ht="15.75" customHeight="1">
      <c r="A715" s="41"/>
      <c r="B715" s="114"/>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ht="15.75" customHeight="1">
      <c r="A716" s="41"/>
      <c r="B716" s="114"/>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ht="15.75" customHeight="1">
      <c r="A717" s="41"/>
      <c r="B717" s="114"/>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ht="15.75" customHeight="1">
      <c r="A718" s="41"/>
      <c r="B718" s="114"/>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ht="15.75" customHeight="1">
      <c r="A719" s="41"/>
      <c r="B719" s="114"/>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ht="15.75" customHeight="1">
      <c r="A720" s="41"/>
      <c r="B720" s="114"/>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ht="15.75" customHeight="1">
      <c r="A721" s="41"/>
      <c r="B721" s="114"/>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ht="15.75" customHeight="1">
      <c r="A722" s="41"/>
      <c r="B722" s="114"/>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ht="15.75" customHeight="1">
      <c r="A723" s="41"/>
      <c r="B723" s="114"/>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ht="15.75" customHeight="1">
      <c r="A724" s="41"/>
      <c r="B724" s="114"/>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ht="15.75" customHeight="1">
      <c r="A725" s="41"/>
      <c r="B725" s="114"/>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ht="15.75" customHeight="1">
      <c r="A726" s="41"/>
      <c r="B726" s="114"/>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ht="15.75" customHeight="1">
      <c r="A727" s="41"/>
      <c r="B727" s="114"/>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ht="15.75" customHeight="1">
      <c r="A728" s="41"/>
      <c r="B728" s="114"/>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ht="15.75" customHeight="1">
      <c r="A729" s="41"/>
      <c r="B729" s="114"/>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ht="15.75" customHeight="1">
      <c r="A730" s="41"/>
      <c r="B730" s="114"/>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ht="15.75" customHeight="1">
      <c r="A731" s="41"/>
      <c r="B731" s="114"/>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ht="15.75" customHeight="1">
      <c r="A732" s="41"/>
      <c r="B732" s="114"/>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ht="15.75" customHeight="1">
      <c r="A733" s="41"/>
      <c r="B733" s="114"/>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ht="15.75" customHeight="1">
      <c r="A734" s="41"/>
      <c r="B734" s="114"/>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ht="15.75" customHeight="1">
      <c r="A735" s="41"/>
      <c r="B735" s="114"/>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ht="15.75" customHeight="1">
      <c r="A736" s="41"/>
      <c r="B736" s="114"/>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ht="15.75" customHeight="1">
      <c r="A737" s="41"/>
      <c r="B737" s="114"/>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ht="15.75" customHeight="1">
      <c r="A738" s="41"/>
      <c r="B738" s="114"/>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ht="15.75" customHeight="1">
      <c r="A739" s="41"/>
      <c r="B739" s="114"/>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ht="15.75" customHeight="1">
      <c r="A740" s="41"/>
      <c r="B740" s="114"/>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ht="15.75" customHeight="1">
      <c r="A741" s="41"/>
      <c r="B741" s="114"/>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ht="15.75" customHeight="1">
      <c r="A742" s="41"/>
      <c r="B742" s="114"/>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ht="15.75" customHeight="1">
      <c r="A743" s="41"/>
      <c r="B743" s="114"/>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ht="15.75" customHeight="1">
      <c r="A744" s="41"/>
      <c r="B744" s="114"/>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ht="15.75" customHeight="1">
      <c r="A745" s="41"/>
      <c r="B745" s="114"/>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ht="15.75" customHeight="1">
      <c r="A746" s="41"/>
      <c r="B746" s="114"/>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ht="15.75" customHeight="1">
      <c r="A747" s="41"/>
      <c r="B747" s="114"/>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ht="15.75" customHeight="1">
      <c r="A748" s="41"/>
      <c r="B748" s="114"/>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ht="15.75" customHeight="1">
      <c r="A749" s="41"/>
      <c r="B749" s="114"/>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ht="15.75" customHeight="1">
      <c r="A750" s="41"/>
      <c r="B750" s="114"/>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ht="15.75" customHeight="1">
      <c r="A751" s="41"/>
      <c r="B751" s="114"/>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ht="15.75" customHeight="1">
      <c r="A752" s="41"/>
      <c r="B752" s="114"/>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ht="15.75" customHeight="1">
      <c r="A753" s="41"/>
      <c r="B753" s="114"/>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ht="15.75" customHeight="1">
      <c r="A754" s="41"/>
      <c r="B754" s="114"/>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ht="15.75" customHeight="1">
      <c r="A755" s="41"/>
      <c r="B755" s="114"/>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ht="15.75" customHeight="1">
      <c r="A756" s="41"/>
      <c r="B756" s="114"/>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ht="15.75" customHeight="1">
      <c r="A757" s="41"/>
      <c r="B757" s="114"/>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ht="15.75" customHeight="1">
      <c r="A758" s="41"/>
      <c r="B758" s="114"/>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ht="15.75" customHeight="1">
      <c r="A759" s="41"/>
      <c r="B759" s="114"/>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ht="15.75" customHeight="1">
      <c r="A760" s="41"/>
      <c r="B760" s="114"/>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ht="15.75" customHeight="1">
      <c r="A761" s="41"/>
      <c r="B761" s="114"/>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ht="15.75" customHeight="1">
      <c r="A762" s="41"/>
      <c r="B762" s="114"/>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ht="15.75" customHeight="1">
      <c r="A763" s="41"/>
      <c r="B763" s="114"/>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ht="15.75" customHeight="1">
      <c r="A764" s="41"/>
      <c r="B764" s="114"/>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ht="15.75" customHeight="1">
      <c r="A765" s="41"/>
      <c r="B765" s="114"/>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ht="15.75" customHeight="1">
      <c r="A766" s="41"/>
      <c r="B766" s="114"/>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ht="15.75" customHeight="1">
      <c r="A767" s="41"/>
      <c r="B767" s="114"/>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ht="15.75" customHeight="1">
      <c r="A768" s="41"/>
      <c r="B768" s="114"/>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ht="15.75" customHeight="1">
      <c r="A769" s="41"/>
      <c r="B769" s="114"/>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ht="15.75" customHeight="1">
      <c r="A770" s="41"/>
      <c r="B770" s="114"/>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ht="15.75" customHeight="1">
      <c r="A771" s="41"/>
      <c r="B771" s="114"/>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ht="15.75" customHeight="1">
      <c r="A772" s="41"/>
      <c r="B772" s="114"/>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ht="15.75" customHeight="1">
      <c r="A773" s="41"/>
      <c r="B773" s="114"/>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ht="15.75" customHeight="1">
      <c r="A774" s="41"/>
      <c r="B774" s="114"/>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ht="15.75" customHeight="1">
      <c r="A775" s="41"/>
      <c r="B775" s="114"/>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ht="15.75" customHeight="1">
      <c r="A776" s="41"/>
      <c r="B776" s="114"/>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ht="15.75" customHeight="1">
      <c r="A777" s="41"/>
      <c r="B777" s="114"/>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ht="15.75" customHeight="1">
      <c r="A778" s="41"/>
      <c r="B778" s="114"/>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ht="15.75" customHeight="1">
      <c r="A779" s="41"/>
      <c r="B779" s="114"/>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ht="15.75" customHeight="1">
      <c r="A780" s="41"/>
      <c r="B780" s="114"/>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ht="15.75" customHeight="1">
      <c r="A781" s="41"/>
      <c r="B781" s="114"/>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ht="15.75" customHeight="1">
      <c r="A782" s="41"/>
      <c r="B782" s="114"/>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ht="15.75" customHeight="1">
      <c r="A783" s="41"/>
      <c r="B783" s="114"/>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ht="15.75" customHeight="1">
      <c r="A784" s="41"/>
      <c r="B784" s="114"/>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ht="15.75" customHeight="1">
      <c r="A785" s="41"/>
      <c r="B785" s="114"/>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ht="15.75" customHeight="1">
      <c r="A786" s="41"/>
      <c r="B786" s="114"/>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ht="15.75" customHeight="1">
      <c r="A787" s="41"/>
      <c r="B787" s="114"/>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ht="15.75" customHeight="1">
      <c r="A788" s="41"/>
      <c r="B788" s="114"/>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ht="15.75" customHeight="1">
      <c r="A789" s="41"/>
      <c r="B789" s="114"/>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ht="15.75" customHeight="1">
      <c r="A790" s="41"/>
      <c r="B790" s="114"/>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ht="15.75" customHeight="1">
      <c r="A791" s="41"/>
      <c r="B791" s="114"/>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ht="15.75" customHeight="1">
      <c r="A792" s="41"/>
      <c r="B792" s="114"/>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ht="15.75" customHeight="1">
      <c r="A793" s="41"/>
      <c r="B793" s="114"/>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ht="15.75" customHeight="1">
      <c r="A794" s="41"/>
      <c r="B794" s="114"/>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ht="15.75" customHeight="1">
      <c r="A795" s="41"/>
      <c r="B795" s="114"/>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ht="15.75" customHeight="1">
      <c r="A796" s="41"/>
      <c r="B796" s="114"/>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ht="15.75" customHeight="1">
      <c r="A797" s="41"/>
      <c r="B797" s="114"/>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ht="15.75" customHeight="1">
      <c r="A798" s="41"/>
      <c r="B798" s="114"/>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ht="15.75" customHeight="1">
      <c r="A799" s="41"/>
      <c r="B799" s="114"/>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ht="15.75" customHeight="1">
      <c r="A800" s="41"/>
      <c r="B800" s="114"/>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ht="15.75" customHeight="1">
      <c r="A801" s="41"/>
      <c r="B801" s="114"/>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ht="15.75" customHeight="1">
      <c r="A802" s="41"/>
      <c r="B802" s="114"/>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ht="15.75" customHeight="1">
      <c r="A803" s="41"/>
      <c r="B803" s="114"/>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ht="15.75" customHeight="1">
      <c r="A804" s="41"/>
      <c r="B804" s="114"/>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ht="15.75" customHeight="1">
      <c r="A805" s="41"/>
      <c r="B805" s="114"/>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ht="15.75" customHeight="1">
      <c r="A806" s="41"/>
      <c r="B806" s="114"/>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ht="15.75" customHeight="1">
      <c r="A807" s="41"/>
      <c r="B807" s="114"/>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ht="15.75" customHeight="1">
      <c r="A808" s="41"/>
      <c r="B808" s="114"/>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ht="15.75" customHeight="1">
      <c r="A809" s="41"/>
      <c r="B809" s="114"/>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ht="15.75" customHeight="1">
      <c r="A810" s="41"/>
      <c r="B810" s="114"/>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ht="15.75" customHeight="1">
      <c r="A811" s="41"/>
      <c r="B811" s="114"/>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ht="15.75" customHeight="1">
      <c r="A812" s="41"/>
      <c r="B812" s="114"/>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ht="15.75" customHeight="1">
      <c r="A813" s="41"/>
      <c r="B813" s="114"/>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ht="15.75" customHeight="1">
      <c r="A814" s="41"/>
      <c r="B814" s="114"/>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ht="15.75" customHeight="1">
      <c r="A815" s="41"/>
      <c r="B815" s="114"/>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ht="15.75" customHeight="1">
      <c r="A816" s="41"/>
      <c r="B816" s="114"/>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ht="15.75" customHeight="1">
      <c r="A817" s="41"/>
      <c r="B817" s="114"/>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ht="15.75" customHeight="1">
      <c r="A818" s="41"/>
      <c r="B818" s="114"/>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ht="15.75" customHeight="1">
      <c r="A819" s="41"/>
      <c r="B819" s="114"/>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ht="15.75" customHeight="1">
      <c r="A820" s="41"/>
      <c r="B820" s="114"/>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ht="15.75" customHeight="1">
      <c r="A821" s="41"/>
      <c r="B821" s="114"/>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ht="15.75" customHeight="1">
      <c r="A822" s="41"/>
      <c r="B822" s="114"/>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ht="15.75" customHeight="1">
      <c r="A823" s="41"/>
      <c r="B823" s="114"/>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ht="15.75" customHeight="1">
      <c r="A824" s="41"/>
      <c r="B824" s="114"/>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ht="15.75" customHeight="1">
      <c r="A825" s="41"/>
      <c r="B825" s="114"/>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ht="15.75" customHeight="1">
      <c r="A826" s="41"/>
      <c r="B826" s="114"/>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ht="15.75" customHeight="1">
      <c r="A827" s="41"/>
      <c r="B827" s="114"/>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ht="15.75" customHeight="1">
      <c r="A828" s="41"/>
      <c r="B828" s="114"/>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ht="15.75" customHeight="1">
      <c r="A829" s="41"/>
      <c r="B829" s="114"/>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ht="15.75" customHeight="1">
      <c r="A830" s="41"/>
      <c r="B830" s="114"/>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ht="15.75" customHeight="1">
      <c r="A831" s="41"/>
      <c r="B831" s="114"/>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ht="15.75" customHeight="1">
      <c r="A832" s="41"/>
      <c r="B832" s="114"/>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ht="15.75" customHeight="1">
      <c r="A833" s="41"/>
      <c r="B833" s="114"/>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ht="15.75" customHeight="1">
      <c r="A834" s="41"/>
      <c r="B834" s="114"/>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ht="15.75" customHeight="1">
      <c r="A835" s="41"/>
      <c r="B835" s="114"/>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ht="15.75" customHeight="1">
      <c r="A836" s="41"/>
      <c r="B836" s="114"/>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ht="15.75" customHeight="1">
      <c r="A837" s="41"/>
      <c r="B837" s="114"/>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ht="15.75" customHeight="1">
      <c r="A838" s="41"/>
      <c r="B838" s="114"/>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ht="15.75" customHeight="1">
      <c r="A839" s="41"/>
      <c r="B839" s="114"/>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ht="15.75" customHeight="1">
      <c r="A840" s="41"/>
      <c r="B840" s="114"/>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ht="15.75" customHeight="1">
      <c r="A841" s="41"/>
      <c r="B841" s="114"/>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ht="15.75" customHeight="1">
      <c r="A842" s="41"/>
      <c r="B842" s="114"/>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ht="15.75" customHeight="1">
      <c r="A843" s="41"/>
      <c r="B843" s="114"/>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ht="15.75" customHeight="1">
      <c r="A844" s="41"/>
      <c r="B844" s="114"/>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ht="15.75" customHeight="1">
      <c r="A845" s="41"/>
      <c r="B845" s="114"/>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ht="15.75" customHeight="1">
      <c r="A846" s="41"/>
      <c r="B846" s="114"/>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ht="15.75" customHeight="1">
      <c r="A847" s="41"/>
      <c r="B847" s="114"/>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ht="15.75" customHeight="1">
      <c r="A848" s="41"/>
      <c r="B848" s="114"/>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ht="15.75" customHeight="1">
      <c r="A849" s="41"/>
      <c r="B849" s="114"/>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ht="15.75" customHeight="1">
      <c r="A850" s="41"/>
      <c r="B850" s="114"/>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ht="15.75" customHeight="1">
      <c r="A851" s="41"/>
      <c r="B851" s="114"/>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ht="15.75" customHeight="1">
      <c r="A852" s="41"/>
      <c r="B852" s="114"/>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ht="15.75" customHeight="1">
      <c r="A853" s="41"/>
      <c r="B853" s="114"/>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ht="15.75" customHeight="1">
      <c r="A854" s="41"/>
      <c r="B854" s="114"/>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ht="15.75" customHeight="1">
      <c r="A855" s="41"/>
      <c r="B855" s="114"/>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ht="15.75" customHeight="1">
      <c r="A856" s="41"/>
      <c r="B856" s="114"/>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ht="15.75" customHeight="1">
      <c r="A857" s="41"/>
      <c r="B857" s="114"/>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ht="15.75" customHeight="1">
      <c r="A858" s="41"/>
      <c r="B858" s="114"/>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ht="15.75" customHeight="1">
      <c r="A859" s="41"/>
      <c r="B859" s="114"/>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ht="15.75" customHeight="1">
      <c r="A860" s="41"/>
      <c r="B860" s="114"/>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ht="15.75" customHeight="1">
      <c r="A861" s="41"/>
      <c r="B861" s="114"/>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ht="15.75" customHeight="1">
      <c r="A862" s="41"/>
      <c r="B862" s="114"/>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ht="15.75" customHeight="1">
      <c r="A863" s="41"/>
      <c r="B863" s="114"/>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ht="15.75" customHeight="1">
      <c r="A864" s="41"/>
      <c r="B864" s="114"/>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ht="15.75" customHeight="1">
      <c r="A865" s="41"/>
      <c r="B865" s="114"/>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ht="15.75" customHeight="1">
      <c r="A866" s="41"/>
      <c r="B866" s="114"/>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ht="15.75" customHeight="1">
      <c r="A867" s="41"/>
      <c r="B867" s="114"/>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ht="15.75" customHeight="1">
      <c r="A868" s="41"/>
      <c r="B868" s="114"/>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ht="15.75" customHeight="1">
      <c r="A869" s="41"/>
      <c r="B869" s="114"/>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ht="15.75" customHeight="1">
      <c r="A870" s="41"/>
      <c r="B870" s="114"/>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ht="15.75" customHeight="1">
      <c r="A871" s="41"/>
      <c r="B871" s="114"/>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ht="15.75" customHeight="1">
      <c r="A872" s="41"/>
      <c r="B872" s="114"/>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ht="15.75" customHeight="1">
      <c r="A873" s="41"/>
      <c r="B873" s="114"/>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ht="15.75" customHeight="1">
      <c r="A874" s="41"/>
      <c r="B874" s="114"/>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ht="15.75" customHeight="1">
      <c r="A875" s="41"/>
      <c r="B875" s="114"/>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ht="15.75" customHeight="1">
      <c r="A876" s="41"/>
      <c r="B876" s="114"/>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ht="15.75" customHeight="1">
      <c r="A877" s="41"/>
      <c r="B877" s="114"/>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ht="15.75" customHeight="1">
      <c r="A878" s="41"/>
      <c r="B878" s="114"/>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ht="15.75" customHeight="1">
      <c r="A879" s="41"/>
      <c r="B879" s="114"/>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ht="15.75" customHeight="1">
      <c r="A880" s="41"/>
      <c r="B880" s="114"/>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ht="15.75" customHeight="1">
      <c r="A881" s="41"/>
      <c r="B881" s="114"/>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ht="15.75" customHeight="1">
      <c r="A882" s="41"/>
      <c r="B882" s="114"/>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ht="15.75" customHeight="1">
      <c r="A883" s="41"/>
      <c r="B883" s="114"/>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ht="15.75" customHeight="1">
      <c r="A884" s="41"/>
      <c r="B884" s="114"/>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ht="15.75" customHeight="1">
      <c r="A885" s="41"/>
      <c r="B885" s="114"/>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ht="15.75" customHeight="1">
      <c r="A886" s="41"/>
      <c r="B886" s="114"/>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ht="15.75" customHeight="1">
      <c r="A887" s="41"/>
      <c r="B887" s="114"/>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ht="15.75" customHeight="1">
      <c r="A888" s="41"/>
      <c r="B888" s="114"/>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ht="15.75" customHeight="1">
      <c r="A889" s="41"/>
      <c r="B889" s="114"/>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ht="15.75" customHeight="1">
      <c r="A890" s="41"/>
      <c r="B890" s="114"/>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ht="15.75" customHeight="1">
      <c r="A891" s="41"/>
      <c r="B891" s="114"/>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ht="15.75" customHeight="1">
      <c r="A892" s="41"/>
      <c r="B892" s="114"/>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ht="15.75" customHeight="1">
      <c r="A893" s="41"/>
      <c r="B893" s="114"/>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ht="15.75" customHeight="1">
      <c r="A894" s="41"/>
      <c r="B894" s="114"/>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ht="15.75" customHeight="1">
      <c r="A895" s="41"/>
      <c r="B895" s="114"/>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ht="15.75" customHeight="1">
      <c r="A896" s="41"/>
      <c r="B896" s="114"/>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ht="15.75" customHeight="1">
      <c r="A897" s="41"/>
      <c r="B897" s="114"/>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ht="15.75" customHeight="1">
      <c r="A898" s="41"/>
      <c r="B898" s="114"/>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ht="15.75" customHeight="1">
      <c r="A899" s="41"/>
      <c r="B899" s="114"/>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ht="15.75" customHeight="1">
      <c r="A900" s="41"/>
      <c r="B900" s="114"/>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ht="15.75" customHeight="1">
      <c r="A901" s="41"/>
      <c r="B901" s="114"/>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ht="15.75" customHeight="1">
      <c r="A902" s="41"/>
      <c r="B902" s="114"/>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ht="15.75" customHeight="1">
      <c r="A903" s="41"/>
      <c r="B903" s="114"/>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ht="15.75" customHeight="1">
      <c r="A904" s="41"/>
      <c r="B904" s="114"/>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ht="15.75" customHeight="1">
      <c r="A905" s="41"/>
      <c r="B905" s="114"/>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ht="15.75" customHeight="1">
      <c r="A906" s="41"/>
      <c r="B906" s="114"/>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ht="15.75" customHeight="1">
      <c r="A907" s="41"/>
      <c r="B907" s="114"/>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ht="15.75" customHeight="1">
      <c r="A908" s="41"/>
      <c r="B908" s="114"/>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ht="15.75" customHeight="1">
      <c r="A909" s="41"/>
      <c r="B909" s="114"/>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ht="15.75" customHeight="1">
      <c r="A910" s="41"/>
      <c r="B910" s="114"/>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ht="15.75" customHeight="1">
      <c r="A911" s="41"/>
      <c r="B911" s="114"/>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ht="15.75" customHeight="1">
      <c r="A912" s="41"/>
      <c r="B912" s="114"/>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ht="15.75" customHeight="1">
      <c r="A913" s="41"/>
      <c r="B913" s="114"/>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ht="15.75" customHeight="1">
      <c r="A914" s="41"/>
      <c r="B914" s="114"/>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ht="15.75" customHeight="1">
      <c r="A915" s="41"/>
      <c r="B915" s="114"/>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ht="15.75" customHeight="1">
      <c r="A916" s="41"/>
      <c r="B916" s="114"/>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ht="15.75" customHeight="1">
      <c r="A917" s="41"/>
      <c r="B917" s="114"/>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ht="15.75" customHeight="1">
      <c r="A918" s="41"/>
      <c r="B918" s="114"/>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ht="15.75" customHeight="1">
      <c r="A919" s="41"/>
      <c r="B919" s="114"/>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ht="15.75" customHeight="1">
      <c r="A920" s="41"/>
      <c r="B920" s="114"/>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ht="15.75" customHeight="1">
      <c r="A921" s="41"/>
      <c r="B921" s="114"/>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ht="15.75" customHeight="1">
      <c r="A922" s="41"/>
      <c r="B922" s="114"/>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ht="15.75" customHeight="1">
      <c r="A923" s="41"/>
      <c r="B923" s="114"/>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ht="15.75" customHeight="1">
      <c r="A924" s="41"/>
      <c r="B924" s="114"/>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ht="15.75" customHeight="1">
      <c r="A925" s="41"/>
      <c r="B925" s="114"/>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ht="15.75" customHeight="1">
      <c r="A926" s="41"/>
      <c r="B926" s="114"/>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ht="15.75" customHeight="1">
      <c r="A927" s="41"/>
      <c r="B927" s="114"/>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ht="15.75" customHeight="1">
      <c r="A928" s="41"/>
      <c r="B928" s="114"/>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ht="15.75" customHeight="1">
      <c r="A929" s="41"/>
      <c r="B929" s="114"/>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ht="15.75" customHeight="1">
      <c r="A930" s="41"/>
      <c r="B930" s="114"/>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ht="15.75" customHeight="1">
      <c r="A931" s="41"/>
      <c r="B931" s="114"/>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ht="15.75" customHeight="1">
      <c r="A932" s="41"/>
      <c r="B932" s="114"/>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ht="15.75" customHeight="1">
      <c r="A933" s="41"/>
      <c r="B933" s="114"/>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ht="15.75" customHeight="1">
      <c r="A934" s="41"/>
      <c r="B934" s="114"/>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ht="15.75" customHeight="1">
      <c r="A935" s="41"/>
      <c r="B935" s="114"/>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ht="15.75" customHeight="1">
      <c r="A936" s="41"/>
      <c r="B936" s="114"/>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ht="15.75" customHeight="1">
      <c r="A937" s="41"/>
      <c r="B937" s="114"/>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ht="15.75" customHeight="1">
      <c r="A938" s="41"/>
      <c r="B938" s="114"/>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ht="15.75" customHeight="1">
      <c r="A939" s="41"/>
      <c r="B939" s="114"/>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ht="15.75" customHeight="1">
      <c r="A940" s="41"/>
      <c r="B940" s="114"/>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ht="15.75" customHeight="1">
      <c r="A941" s="41"/>
      <c r="B941" s="114"/>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ht="15.75" customHeight="1">
      <c r="A942" s="41"/>
      <c r="B942" s="114"/>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ht="15.75" customHeight="1">
      <c r="A943" s="41"/>
      <c r="B943" s="114"/>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ht="15.75" customHeight="1">
      <c r="A944" s="41"/>
      <c r="B944" s="114"/>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ht="15.75" customHeight="1">
      <c r="A945" s="41"/>
      <c r="B945" s="114"/>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ht="15.75" customHeight="1">
      <c r="A946" s="41"/>
      <c r="B946" s="114"/>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ht="15.75" customHeight="1">
      <c r="A947" s="41"/>
      <c r="B947" s="114"/>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ht="15.75" customHeight="1">
      <c r="A948" s="41"/>
      <c r="B948" s="114"/>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ht="15.75" customHeight="1">
      <c r="A949" s="41"/>
      <c r="B949" s="114"/>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ht="15.75" customHeight="1">
      <c r="A950" s="41"/>
      <c r="B950" s="114"/>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ht="15.75" customHeight="1">
      <c r="A951" s="41"/>
      <c r="B951" s="114"/>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ht="15.75" customHeight="1">
      <c r="A952" s="41"/>
      <c r="B952" s="114"/>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ht="15.75" customHeight="1">
      <c r="A953" s="41"/>
      <c r="B953" s="114"/>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ht="15.75" customHeight="1">
      <c r="A954" s="41"/>
      <c r="B954" s="114"/>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ht="15.75" customHeight="1">
      <c r="A955" s="41"/>
      <c r="B955" s="114"/>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ht="15.75" customHeight="1">
      <c r="A956" s="41"/>
      <c r="B956" s="114"/>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ht="15.75" customHeight="1">
      <c r="A957" s="41"/>
      <c r="B957" s="114"/>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ht="15.75" customHeight="1">
      <c r="A958" s="41"/>
      <c r="B958" s="114"/>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ht="15.75" customHeight="1">
      <c r="A959" s="41"/>
      <c r="B959" s="114"/>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ht="15.75" customHeight="1">
      <c r="A960" s="41"/>
      <c r="B960" s="114"/>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ht="15.75" customHeight="1">
      <c r="A961" s="41"/>
      <c r="B961" s="114"/>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ht="15.75" customHeight="1">
      <c r="A962" s="41"/>
      <c r="B962" s="114"/>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ht="15.75" customHeight="1">
      <c r="A963" s="41"/>
      <c r="B963" s="114"/>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ht="15.75" customHeight="1">
      <c r="A964" s="41"/>
      <c r="B964" s="114"/>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ht="15.75" customHeight="1">
      <c r="A965" s="41"/>
      <c r="B965" s="114"/>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ht="15.75" customHeight="1">
      <c r="A966" s="41"/>
      <c r="B966" s="114"/>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ht="15.75" customHeight="1">
      <c r="A967" s="41"/>
      <c r="B967" s="114"/>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ht="15.75" customHeight="1">
      <c r="A968" s="41"/>
      <c r="B968" s="114"/>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ht="15.75" customHeight="1">
      <c r="A969" s="41"/>
      <c r="B969" s="114"/>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ht="15.75" customHeight="1">
      <c r="A970" s="41"/>
      <c r="B970" s="114"/>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ht="15.75" customHeight="1">
      <c r="A971" s="41"/>
      <c r="B971" s="114"/>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ht="15.75" customHeight="1">
      <c r="A972" s="41"/>
      <c r="B972" s="114"/>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ht="15.75" customHeight="1">
      <c r="A973" s="41"/>
      <c r="B973" s="114"/>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ht="15.75" customHeight="1">
      <c r="A974" s="41"/>
      <c r="B974" s="114"/>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ht="15.75" customHeight="1">
      <c r="A975" s="41"/>
      <c r="B975" s="114"/>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ht="15.75" customHeight="1">
      <c r="A976" s="41"/>
      <c r="B976" s="114"/>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ht="15.75" customHeight="1">
      <c r="A977" s="41"/>
      <c r="B977" s="114"/>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ht="15.75" customHeight="1">
      <c r="A978" s="41"/>
      <c r="B978" s="114"/>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ht="15.75" customHeight="1">
      <c r="A979" s="41"/>
      <c r="B979" s="114"/>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ht="15.75" customHeight="1">
      <c r="A980" s="41"/>
      <c r="B980" s="114"/>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ht="15.75" customHeight="1">
      <c r="A981" s="41"/>
      <c r="B981" s="114"/>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ht="15.75" customHeight="1">
      <c r="A982" s="41"/>
      <c r="B982" s="114"/>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ht="15.75" customHeight="1">
      <c r="A983" s="41"/>
      <c r="B983" s="114"/>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ht="15.75" customHeight="1">
      <c r="A984" s="41"/>
      <c r="B984" s="114"/>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ht="15.75" customHeight="1">
      <c r="A985" s="41"/>
      <c r="B985" s="114"/>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ht="15.75" customHeight="1">
      <c r="A986" s="41"/>
      <c r="B986" s="114"/>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ht="15.75" customHeight="1">
      <c r="A987" s="41"/>
      <c r="B987" s="114"/>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ht="15.75" customHeight="1">
      <c r="A988" s="41"/>
      <c r="B988" s="114"/>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ht="15.75" customHeight="1">
      <c r="A989" s="41"/>
      <c r="B989" s="114"/>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ht="15.75" customHeight="1">
      <c r="A990" s="41"/>
      <c r="B990" s="114"/>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ht="15.75" customHeight="1">
      <c r="A991" s="41"/>
      <c r="B991" s="114"/>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ht="15.75" customHeight="1">
      <c r="A992" s="41"/>
      <c r="B992" s="114"/>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ht="15.75" customHeight="1">
      <c r="A993" s="41"/>
      <c r="B993" s="114"/>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ht="15.75" customHeight="1">
      <c r="A994" s="41"/>
      <c r="B994" s="114"/>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sheetData>
  <mergeCells count="46">
    <mergeCell ref="A3:D3"/>
    <mergeCell ref="A4:D4"/>
    <mergeCell ref="C5:D5"/>
    <mergeCell ref="C6:D6"/>
    <mergeCell ref="C7:D7"/>
    <mergeCell ref="C8:D8"/>
    <mergeCell ref="C9:D9"/>
    <mergeCell ref="C10:D10"/>
    <mergeCell ref="C11:D11"/>
    <mergeCell ref="A12:D12"/>
    <mergeCell ref="C13:D13"/>
    <mergeCell ref="C14:D14"/>
    <mergeCell ref="C15:D15"/>
    <mergeCell ref="C16:D16"/>
    <mergeCell ref="A17:D17"/>
    <mergeCell ref="C18:D18"/>
    <mergeCell ref="A19:D19"/>
    <mergeCell ref="C20:D20"/>
    <mergeCell ref="C21:D21"/>
    <mergeCell ref="C22:D22"/>
    <mergeCell ref="C23:D23"/>
    <mergeCell ref="C24:D24"/>
    <mergeCell ref="C25:D25"/>
    <mergeCell ref="C26:D26"/>
    <mergeCell ref="C27:D27"/>
    <mergeCell ref="A28:D28"/>
    <mergeCell ref="C29:D29"/>
    <mergeCell ref="C30:D30"/>
    <mergeCell ref="C31:D31"/>
    <mergeCell ref="C32:D32"/>
    <mergeCell ref="C33:D33"/>
    <mergeCell ref="C34:D34"/>
    <mergeCell ref="A35:D35"/>
    <mergeCell ref="C36:D36"/>
    <mergeCell ref="C37:D37"/>
    <mergeCell ref="A50:I50"/>
    <mergeCell ref="A51:I51"/>
    <mergeCell ref="A52:I52"/>
    <mergeCell ref="A53:I53"/>
    <mergeCell ref="C38:D38"/>
    <mergeCell ref="A39:I39"/>
    <mergeCell ref="A40:H40"/>
    <mergeCell ref="A46:I46"/>
    <mergeCell ref="A47:I47"/>
    <mergeCell ref="A48:I48"/>
    <mergeCell ref="A49:I4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5.86"/>
    <col customWidth="1" min="2" max="2" width="43.0"/>
    <col customWidth="1" min="3" max="3" width="27.0"/>
    <col customWidth="1" min="4" max="5" width="16.29"/>
    <col customWidth="1" min="6" max="6" width="18.0"/>
    <col customWidth="1" min="7" max="27" width="8.71"/>
  </cols>
  <sheetData>
    <row r="1" ht="36.0" customHeight="1">
      <c r="A1" s="115" t="s">
        <v>285</v>
      </c>
      <c r="B1" s="2"/>
      <c r="C1" s="2"/>
      <c r="D1" s="2"/>
      <c r="E1" s="2"/>
      <c r="F1" s="3"/>
    </row>
    <row r="2" ht="27.75" customHeight="1">
      <c r="A2" s="4" t="s">
        <v>286</v>
      </c>
      <c r="B2" s="4" t="s">
        <v>287</v>
      </c>
      <c r="C2" s="4" t="s">
        <v>288</v>
      </c>
      <c r="D2" s="116" t="s">
        <v>289</v>
      </c>
      <c r="E2" s="116"/>
      <c r="F2" s="4" t="s">
        <v>290</v>
      </c>
    </row>
    <row r="3" ht="408.0" customHeight="1">
      <c r="A3" s="117" t="s">
        <v>291</v>
      </c>
      <c r="B3" s="118" t="s">
        <v>292</v>
      </c>
      <c r="C3" s="118" t="s">
        <v>293</v>
      </c>
      <c r="D3" s="119">
        <v>2000.0</v>
      </c>
      <c r="E3" s="119" t="s">
        <v>294</v>
      </c>
      <c r="F3" s="117">
        <v>0.0</v>
      </c>
    </row>
    <row r="4" ht="201.75" customHeight="1">
      <c r="A4" s="117" t="s">
        <v>295</v>
      </c>
      <c r="B4" s="118" t="s">
        <v>296</v>
      </c>
      <c r="C4" s="118" t="s">
        <v>297</v>
      </c>
      <c r="D4" s="119">
        <v>800.0</v>
      </c>
      <c r="E4" s="119" t="s">
        <v>298</v>
      </c>
      <c r="F4" s="117" t="s">
        <v>299</v>
      </c>
    </row>
    <row r="5" ht="142.5" customHeight="1">
      <c r="A5" s="117" t="s">
        <v>300</v>
      </c>
      <c r="B5" s="118" t="s">
        <v>301</v>
      </c>
      <c r="C5" s="118" t="s">
        <v>302</v>
      </c>
      <c r="D5" s="119">
        <v>500.0</v>
      </c>
      <c r="E5" s="119" t="s">
        <v>303</v>
      </c>
      <c r="F5" s="117"/>
    </row>
    <row r="6" ht="184.5" customHeight="1">
      <c r="A6" s="117" t="s">
        <v>304</v>
      </c>
      <c r="B6" s="118" t="s">
        <v>305</v>
      </c>
      <c r="C6" s="118" t="s">
        <v>306</v>
      </c>
      <c r="D6" s="119">
        <v>300.0</v>
      </c>
      <c r="E6" s="119" t="s">
        <v>307</v>
      </c>
      <c r="F6" s="117"/>
    </row>
    <row r="7" ht="229.5" customHeight="1">
      <c r="A7" s="120" t="s">
        <v>308</v>
      </c>
      <c r="B7" s="121" t="s">
        <v>309</v>
      </c>
      <c r="C7" s="121" t="s">
        <v>310</v>
      </c>
      <c r="D7" s="122">
        <v>1000.0</v>
      </c>
      <c r="E7" s="122" t="s">
        <v>311</v>
      </c>
      <c r="F7" s="123" t="s">
        <v>312</v>
      </c>
    </row>
    <row r="8" ht="222.0" customHeight="1">
      <c r="A8" s="120" t="s">
        <v>313</v>
      </c>
      <c r="B8" s="121" t="s">
        <v>314</v>
      </c>
      <c r="C8" s="121" t="s">
        <v>315</v>
      </c>
      <c r="D8" s="122">
        <v>1500.0</v>
      </c>
      <c r="E8" s="122" t="s">
        <v>316</v>
      </c>
      <c r="F8" s="120">
        <v>500.0</v>
      </c>
    </row>
    <row r="9" ht="178.5" customHeight="1">
      <c r="A9" s="124" t="s">
        <v>317</v>
      </c>
      <c r="B9" s="125" t="s">
        <v>318</v>
      </c>
      <c r="C9" s="125" t="s">
        <v>319</v>
      </c>
      <c r="D9" s="126">
        <v>12000.0</v>
      </c>
      <c r="E9" s="126" t="s">
        <v>320</v>
      </c>
      <c r="F9" s="127">
        <v>0.0</v>
      </c>
    </row>
    <row r="10" ht="159.75" customHeight="1">
      <c r="A10" s="128" t="s">
        <v>321</v>
      </c>
      <c r="B10" s="129" t="s">
        <v>322</v>
      </c>
      <c r="C10" s="129" t="s">
        <v>323</v>
      </c>
      <c r="D10" s="130">
        <v>50000.0</v>
      </c>
      <c r="E10" s="130" t="s">
        <v>324</v>
      </c>
      <c r="F10" s="128" t="s">
        <v>325</v>
      </c>
      <c r="G10" s="131" t="s">
        <v>326</v>
      </c>
      <c r="H10" s="131" t="s">
        <v>327</v>
      </c>
      <c r="I10" s="131">
        <v>0.0</v>
      </c>
    </row>
    <row r="11">
      <c r="A11" s="132" t="s">
        <v>328</v>
      </c>
      <c r="B11" s="131" t="s">
        <v>329</v>
      </c>
      <c r="C11" s="131" t="s">
        <v>330</v>
      </c>
      <c r="D11" s="133">
        <f>SUM(D3:D10)</f>
        <v>68100</v>
      </c>
    </row>
    <row r="12">
      <c r="A12" s="131"/>
      <c r="B12" s="131"/>
      <c r="D12" s="133">
        <f>SUM(D3:D10)</f>
        <v>68100</v>
      </c>
    </row>
    <row r="13">
      <c r="A13" s="134" t="s">
        <v>331</v>
      </c>
      <c r="B13" s="134" t="s">
        <v>332</v>
      </c>
      <c r="C13" s="135"/>
      <c r="D13" s="135">
        <f>SUM(D2:D10)</f>
        <v>68100</v>
      </c>
      <c r="E13" s="135"/>
      <c r="F13" s="135"/>
      <c r="G13" s="135"/>
      <c r="H13" s="135"/>
      <c r="I13" s="135"/>
      <c r="J13" s="135"/>
      <c r="K13" s="135"/>
      <c r="L13" s="135"/>
      <c r="M13" s="135"/>
      <c r="N13" s="135"/>
      <c r="O13" s="135"/>
      <c r="P13" s="135"/>
      <c r="Q13" s="135"/>
      <c r="R13" s="135"/>
      <c r="S13" s="135"/>
      <c r="T13" s="135"/>
      <c r="U13" s="135"/>
      <c r="V13" s="135"/>
      <c r="W13" s="135"/>
      <c r="X13" s="135"/>
      <c r="Y13" s="135"/>
      <c r="Z13" s="135"/>
      <c r="AA13" s="135"/>
    </row>
    <row r="14">
      <c r="A14" s="134" t="s">
        <v>333</v>
      </c>
      <c r="B14" s="134" t="s">
        <v>334</v>
      </c>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row>
    <row r="15">
      <c r="A15" s="135"/>
      <c r="B15" s="134" t="s">
        <v>335</v>
      </c>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c r="AA15" s="135"/>
    </row>
    <row r="16" ht="15.75" customHeight="1">
      <c r="A16" s="134"/>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row>
    <row r="17" ht="15.75" customHeight="1">
      <c r="A17" s="136" t="s">
        <v>336</v>
      </c>
      <c r="B17" s="31"/>
      <c r="C17" s="32"/>
      <c r="D17" s="135"/>
      <c r="E17" s="135"/>
      <c r="F17" s="135"/>
      <c r="G17" s="135"/>
      <c r="H17" s="135"/>
      <c r="I17" s="135"/>
      <c r="J17" s="135"/>
      <c r="K17" s="135"/>
      <c r="L17" s="135"/>
      <c r="M17" s="135"/>
      <c r="N17" s="135"/>
      <c r="O17" s="135"/>
      <c r="P17" s="135"/>
      <c r="Q17" s="135"/>
      <c r="R17" s="135"/>
      <c r="S17" s="135"/>
      <c r="T17" s="135"/>
      <c r="U17" s="135"/>
      <c r="V17" s="135"/>
      <c r="W17" s="135"/>
      <c r="X17" s="135"/>
      <c r="Y17" s="135"/>
      <c r="Z17" s="135"/>
      <c r="AA17" s="135"/>
    </row>
    <row r="18" ht="15.75" customHeight="1">
      <c r="A18" s="137" t="s">
        <v>337</v>
      </c>
      <c r="B18" s="137" t="s">
        <v>338</v>
      </c>
      <c r="C18" s="137" t="s">
        <v>339</v>
      </c>
      <c r="D18" s="135"/>
      <c r="E18" s="135"/>
      <c r="F18" s="135"/>
      <c r="G18" s="135"/>
      <c r="H18" s="135"/>
      <c r="I18" s="135"/>
      <c r="J18" s="135"/>
      <c r="K18" s="135"/>
      <c r="L18" s="135"/>
      <c r="M18" s="135"/>
      <c r="N18" s="135"/>
      <c r="O18" s="135"/>
      <c r="P18" s="135"/>
      <c r="Q18" s="135"/>
      <c r="R18" s="135"/>
      <c r="S18" s="135"/>
      <c r="T18" s="135"/>
      <c r="U18" s="135"/>
      <c r="V18" s="135"/>
      <c r="W18" s="135"/>
      <c r="X18" s="135"/>
      <c r="Y18" s="135"/>
      <c r="Z18" s="135"/>
      <c r="AA18" s="135"/>
    </row>
    <row r="19" ht="15.75" customHeight="1">
      <c r="A19" s="138" t="s">
        <v>340</v>
      </c>
      <c r="B19" s="139" t="s">
        <v>341</v>
      </c>
      <c r="C19" s="139" t="s">
        <v>342</v>
      </c>
      <c r="D19" s="135"/>
      <c r="E19" s="135"/>
      <c r="F19" s="135"/>
      <c r="G19" s="135"/>
      <c r="H19" s="135"/>
      <c r="I19" s="135"/>
      <c r="J19" s="135"/>
      <c r="K19" s="135"/>
      <c r="L19" s="135"/>
      <c r="M19" s="135"/>
      <c r="N19" s="135"/>
      <c r="O19" s="135"/>
      <c r="P19" s="135"/>
      <c r="Q19" s="135"/>
      <c r="R19" s="135"/>
      <c r="S19" s="135"/>
      <c r="T19" s="135"/>
      <c r="U19" s="135"/>
      <c r="V19" s="135"/>
      <c r="W19" s="135"/>
      <c r="X19" s="135"/>
      <c r="Y19" s="135"/>
      <c r="Z19" s="135"/>
      <c r="AA19" s="135"/>
    </row>
    <row r="20" ht="15.75" customHeight="1">
      <c r="A20" s="138" t="s">
        <v>343</v>
      </c>
      <c r="B20" s="139" t="s">
        <v>344</v>
      </c>
      <c r="C20" s="139" t="s">
        <v>345</v>
      </c>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row>
    <row r="21" ht="15.75" customHeight="1">
      <c r="A21" s="138" t="s">
        <v>346</v>
      </c>
      <c r="B21" s="139" t="s">
        <v>347</v>
      </c>
      <c r="C21" s="139" t="s">
        <v>348</v>
      </c>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row>
    <row r="22" ht="15.75" customHeight="1">
      <c r="A22" s="138" t="s">
        <v>349</v>
      </c>
      <c r="B22" s="139" t="s">
        <v>350</v>
      </c>
      <c r="C22" s="139" t="s">
        <v>351</v>
      </c>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row>
    <row r="23" ht="15.75" customHeight="1">
      <c r="A23" s="138" t="s">
        <v>352</v>
      </c>
      <c r="B23" s="139" t="s">
        <v>353</v>
      </c>
      <c r="C23" s="139" t="s">
        <v>354</v>
      </c>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row>
    <row r="24" ht="15.75" customHeight="1">
      <c r="A24" s="140"/>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row>
    <row r="25" ht="15.75" customHeight="1">
      <c r="A25" s="136" t="s">
        <v>355</v>
      </c>
      <c r="B25" s="31"/>
      <c r="C25" s="32"/>
      <c r="D25" s="135"/>
      <c r="E25" s="135"/>
      <c r="F25" s="135"/>
      <c r="G25" s="135"/>
      <c r="H25" s="135"/>
      <c r="I25" s="135"/>
      <c r="J25" s="135"/>
      <c r="K25" s="135"/>
      <c r="L25" s="135"/>
      <c r="M25" s="135"/>
      <c r="N25" s="135"/>
      <c r="O25" s="135"/>
      <c r="P25" s="135"/>
      <c r="Q25" s="135"/>
      <c r="R25" s="135"/>
      <c r="S25" s="135"/>
      <c r="T25" s="135"/>
      <c r="U25" s="135"/>
      <c r="V25" s="135"/>
      <c r="W25" s="135"/>
      <c r="X25" s="135"/>
      <c r="Y25" s="135"/>
      <c r="Z25" s="135"/>
      <c r="AA25" s="135"/>
    </row>
    <row r="26" ht="15.75" customHeight="1">
      <c r="A26" s="140" t="s">
        <v>337</v>
      </c>
      <c r="B26" s="140" t="s">
        <v>356</v>
      </c>
      <c r="C26" s="140" t="s">
        <v>339</v>
      </c>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row>
    <row r="27" ht="15.75" customHeight="1">
      <c r="A27" s="138" t="s">
        <v>357</v>
      </c>
      <c r="B27" s="138" t="s">
        <v>358</v>
      </c>
      <c r="C27" s="138" t="s">
        <v>359</v>
      </c>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row>
    <row r="28" ht="15.75" customHeight="1">
      <c r="A28" s="138" t="s">
        <v>360</v>
      </c>
      <c r="B28" s="138" t="s">
        <v>361</v>
      </c>
      <c r="C28" s="138" t="s">
        <v>362</v>
      </c>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row>
    <row r="29" ht="15.75" customHeight="1">
      <c r="A29" s="138" t="s">
        <v>363</v>
      </c>
      <c r="B29" s="138" t="s">
        <v>364</v>
      </c>
      <c r="C29" s="138" t="s">
        <v>365</v>
      </c>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4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3">
    <mergeCell ref="A1:F1"/>
    <mergeCell ref="A25:C25"/>
    <mergeCell ref="A17:C1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4.43"/>
  </cols>
  <sheetData>
    <row r="1" ht="225.0" customHeight="1"/>
    <row r="3" ht="22.5" customHeight="1">
      <c r="A3" s="142" t="s">
        <v>366</v>
      </c>
      <c r="B3" s="143" t="s">
        <v>367</v>
      </c>
    </row>
    <row r="4" ht="22.5" customHeight="1">
      <c r="A4" s="144" t="s">
        <v>368</v>
      </c>
      <c r="B4" s="145">
        <f>'MVP Валідація'!D3</f>
        <v>2000</v>
      </c>
    </row>
    <row r="5" ht="22.5" customHeight="1">
      <c r="A5" s="144" t="s">
        <v>369</v>
      </c>
      <c r="B5" s="146">
        <f>'MVP Валідація'!D4</f>
        <v>800</v>
      </c>
    </row>
    <row r="6" ht="22.5" customHeight="1">
      <c r="A6" s="144" t="s">
        <v>370</v>
      </c>
      <c r="B6" s="146">
        <f>'MVP Валідація'!D5</f>
        <v>500</v>
      </c>
    </row>
    <row r="7" ht="22.5" customHeight="1">
      <c r="A7" s="144" t="s">
        <v>371</v>
      </c>
      <c r="B7" s="146">
        <f>'MVP Валідація'!D6</f>
        <v>300</v>
      </c>
    </row>
    <row r="8" ht="22.5" customHeight="1">
      <c r="A8" s="144" t="s">
        <v>372</v>
      </c>
      <c r="B8" s="146">
        <f>'MVP Валідація'!D7</f>
        <v>1000</v>
      </c>
    </row>
    <row r="9" ht="22.5" customHeight="1">
      <c r="A9" s="144" t="s">
        <v>373</v>
      </c>
      <c r="B9" s="146">
        <f>'MVP Валідація'!D8</f>
        <v>1500</v>
      </c>
    </row>
    <row r="10" ht="22.5" customHeight="1">
      <c r="A10" s="144" t="s">
        <v>374</v>
      </c>
      <c r="B10" s="145">
        <f>'MVP Валідація'!D9</f>
        <v>12000</v>
      </c>
    </row>
    <row r="11" ht="22.5" customHeight="1">
      <c r="A11" s="144" t="s">
        <v>375</v>
      </c>
      <c r="B11" s="146">
        <f>'MVP Валідація'!D10</f>
        <v>50000</v>
      </c>
    </row>
    <row r="12" ht="22.5" customHeight="1">
      <c r="A12" s="144" t="s">
        <v>376</v>
      </c>
      <c r="B12" s="147">
        <f>'MVP Валідація'!D11</f>
        <v>68100</v>
      </c>
    </row>
  </sheetData>
  <dataValidations>
    <dataValidation type="custom" allowBlank="1" showDropDown="1" sqref="B4:B12">
      <formula1>AND(ISNUMBER(B4),(NOT(OR(NOT(ISERROR(DATEVALUE(B4))), AND(ISNUMBER(B4), LEFT(CELL("format", B4))="D")))))</formula1>
    </dataValidation>
  </dataValidations>
  <drawing r:id="rId1"/>
  <tableParts count="1">
    <tablePart r:id="rId3"/>
  </tableParts>
</worksheet>
</file>