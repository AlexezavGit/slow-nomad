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ь 80 власників" sheetId="1" state="visible" r:id="rId1"/>
    <sheet xmlns:r="http://schemas.openxmlformats.org/officeDocument/2006/relationships" name="Сценарії" sheetId="2" state="visible" r:id="rId2"/>
    <sheet xmlns:r="http://schemas.openxmlformats.org/officeDocument/2006/relationships" name="Ризики + Ді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$#,##0;($#,##0);-"/>
    <numFmt numFmtId="167" formatCode="0.0 &quot;р&quot;"/>
    <numFmt numFmtId="168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E3A5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D4ED8"/>
      <sz val="10"/>
    </font>
    <font>
      <name val="Calibri"/>
      <i val="1"/>
      <color rgb="0064748B"/>
      <sz val="9"/>
    </font>
    <font>
      <name val="Calibri"/>
      <color rgb="00166534"/>
      <sz val="10"/>
    </font>
    <font>
      <name val="Calibri"/>
      <b val="1"/>
      <sz val="12"/>
    </font>
    <font>
      <name val="Calibri"/>
      <b val="1"/>
      <color rgb="00166534"/>
      <sz val="12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7F1D1D"/>
      <sz val="10"/>
    </font>
    <font>
      <name val="Calibri"/>
      <b val="1"/>
      <color rgb="00FFFFFF"/>
      <sz val="13"/>
    </font>
    <font>
      <name val="Calibri"/>
      <b val="1"/>
      <color rgb="001A2E44"/>
      <sz val="11"/>
    </font>
    <font>
      <name val="Calibri"/>
      <i val="1"/>
      <color rgb="001E293B"/>
      <sz val="9"/>
    </font>
  </fonts>
  <fills count="11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EFF6FF"/>
      </patternFill>
    </fill>
    <fill>
      <patternFill patternType="solid">
        <fgColor rgb="002E5F8A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164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165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9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164" fontId="9" fillId="7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vertical="center" wrapText="1"/>
    </xf>
    <xf numFmtId="3" fontId="12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1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164" fontId="10" fillId="9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 wrapText="1"/>
    </xf>
    <xf numFmtId="164" fontId="13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 wrapText="1"/>
    </xf>
    <xf numFmtId="164" fontId="1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10" fontId="16" fillId="3" borderId="1" applyAlignment="1" pivotButton="0" quotePrefix="0" xfId="0">
      <alignment horizontal="center" vertical="center"/>
    </xf>
    <xf numFmtId="3" fontId="16" fillId="9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1" fillId="10" borderId="1" applyAlignment="1" pivotButton="0" quotePrefix="0" xfId="0">
      <alignment vertical="center" wrapText="1"/>
    </xf>
    <xf numFmtId="166" fontId="17" fillId="10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  <xf numFmtId="168" fontId="13" fillId="7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4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0" fontId="19" fillId="0" borderId="1" pivotButton="0" quotePrefix="0" xfId="0"/>
    <xf numFmtId="0" fontId="20" fillId="10" borderId="1" applyAlignment="1" pivotButton="0" quotePrefix="0" xfId="0">
      <alignment vertical="center" wrapText="1"/>
    </xf>
    <xf numFmtId="0" fontId="20" fillId="8" borderId="1" applyAlignment="1" pivotButton="0" quotePrefix="0" xfId="0">
      <alignment vertical="center" wrapText="1"/>
    </xf>
    <xf numFmtId="0" fontId="20" fillId="3" borderId="1" applyAlignment="1" pivotButton="0" quotePrefix="0" xfId="0">
      <alignment vertical="center" wrapText="1"/>
    </xf>
    <xf numFmtId="0" fontId="20" fillId="7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2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2" customWidth="1" min="3" max="3"/>
  </cols>
  <sheetData>
    <row r="1" ht="38" customHeight="1">
      <c r="A1" s="1" t="inlineStr">
        <is>
          <t>NOMAD CLUB BA — Модель 80 власників × 3 місяці</t>
        </is>
      </c>
    </row>
    <row r="2" ht="22" customHeight="1">
      <c r="A2" s="2" t="inlineStr">
        <is>
          <t>Сині клітинки = параметри  |  Чорні = формули  |  Зелені = результати  |  Жовті = ризики</t>
        </is>
      </c>
    </row>
    <row r="4" ht="26" customHeight="1">
      <c r="A4" s="3" t="inlineStr">
        <is>
          <t>А. ОБ'ЄКТ — Viamonte 1400, San Nicolás, Buenos Aires</t>
        </is>
      </c>
      <c r="B4" s="4" t="n"/>
      <c r="C4" s="4" t="n"/>
    </row>
    <row r="5" ht="22" customHeight="1">
      <c r="A5" s="5" t="inlineStr">
        <is>
          <t>Ціна об'єкту ($)</t>
        </is>
      </c>
      <c r="B5" s="6" t="n">
        <v>1300000</v>
      </c>
      <c r="C5" s="7" t="inlineStr">
        <is>
          <t>REMAX MLS 221230-6</t>
        </is>
      </c>
    </row>
    <row r="6" ht="22" customHeight="1">
      <c r="A6" s="5" t="inlineStr">
        <is>
          <t>Площа (м²)</t>
        </is>
      </c>
      <c r="B6" s="6" t="n">
        <v>1416</v>
      </c>
      <c r="C6" s="7" t="inlineStr">
        <is>
          <t>1,416 м² покритих</t>
        </is>
      </c>
    </row>
    <row r="7" ht="22" customHeight="1">
      <c r="A7" s="8" t="inlineStr">
        <is>
          <t>Ціна $/м²</t>
        </is>
      </c>
      <c r="B7" s="9">
        <f>B5/B6</f>
        <v/>
      </c>
      <c r="C7" s="10" t="inlineStr">
        <is>
          <t>Ринок $1,500-2,500/м² → куплено нижче</t>
        </is>
      </c>
    </row>
    <row r="8" ht="22" customHeight="1">
      <c r="A8" s="5" t="inlineStr">
        <is>
          <t>Податки + нотаріус + агент (%)</t>
        </is>
      </c>
      <c r="B8" s="11" t="n">
        <v>0.07000000000000001</v>
      </c>
      <c r="C8" s="4" t="n"/>
    </row>
    <row r="9" ht="22" customHeight="1">
      <c r="A9" s="5" t="inlineStr">
        <is>
          <t>Legal / SPV структура ($)</t>
        </is>
      </c>
      <c r="B9" s="6" t="n">
        <v>40000</v>
      </c>
      <c r="C9" s="7" t="inlineStr">
        <is>
          <t>Іноземна власність AR</t>
        </is>
      </c>
    </row>
    <row r="10" ht="22" customHeight="1">
      <c r="A10" s="5" t="inlineStr">
        <is>
          <t>Площа реновації (м²)</t>
        </is>
      </c>
      <c r="B10" s="12" t="n">
        <v>1050</v>
      </c>
      <c r="C10" s="7" t="inlineStr">
        <is>
          <t>Без 1-го поверху (кафе)</t>
        </is>
      </c>
    </row>
    <row r="11" ht="22" customHeight="1">
      <c r="A11" s="5" t="inlineStr">
        <is>
          <t>Ціна реновації $/м²</t>
        </is>
      </c>
      <c r="B11" s="6" t="n">
        <v>1000</v>
      </c>
      <c r="C11" s="7" t="inlineStr">
        <is>
          <t>Оцінка партнера в BA</t>
        </is>
      </c>
    </row>
    <row r="12" ht="22" customHeight="1">
      <c r="A12" s="5" t="inlineStr">
        <is>
          <t>Буфер реновації (%)</t>
        </is>
      </c>
      <c r="B12" s="11" t="n">
        <v>0.15</v>
      </c>
      <c r="C12" s="7" t="inlineStr">
        <is>
          <t>81 рік будівлі</t>
        </is>
      </c>
    </row>
    <row r="13" ht="32" customHeight="1">
      <c r="A13" s="13" t="inlineStr">
        <is>
          <t>TOTAL IN</t>
        </is>
      </c>
      <c r="B13" s="14">
        <f>B5*(1+B8)+B9+B10*B11*(1+B12)</f>
        <v/>
      </c>
      <c r="C13" s="10" t="inlineStr">
        <is>
          <t>Повна вартість входу</t>
        </is>
      </c>
    </row>
    <row r="14">
      <c r="A14" s="4" t="n"/>
      <c r="B14" s="4" t="n"/>
      <c r="C14" s="4" t="n"/>
    </row>
    <row r="15" ht="26" customHeight="1">
      <c r="A15" s="3" t="inlineStr">
        <is>
          <t>Б. СТРУКТУРА ВЛАСНОСТІ</t>
        </is>
      </c>
      <c r="B15" s="4" t="n"/>
      <c r="C15" s="4" t="n"/>
    </row>
    <row r="16" ht="22" customHeight="1">
      <c r="A16" s="5" t="inlineStr">
        <is>
          <t>Кількість юнітів</t>
        </is>
      </c>
      <c r="B16" s="12" t="n">
        <v>24</v>
      </c>
      <c r="C16" s="7" t="inlineStr">
        <is>
          <t>Boutique hotel</t>
        </is>
      </c>
    </row>
    <row r="17" ht="22" customHeight="1">
      <c r="A17" s="5" t="inlineStr">
        <is>
          <t>Місяців проживання / власник</t>
        </is>
      </c>
      <c r="B17" s="12" t="n">
        <v>3</v>
      </c>
      <c r="C17" s="7" t="inlineStr">
        <is>
          <t>1 сезон = 1/4 року</t>
        </is>
      </c>
    </row>
    <row r="18" ht="22" customHeight="1">
      <c r="A18" s="8" t="inlineStr">
        <is>
          <t>Сезонів на рік</t>
        </is>
      </c>
      <c r="B18" s="15">
        <f>12/B17</f>
        <v/>
      </c>
      <c r="C18" s="10" t="inlineStr">
        <is>
          <t>4 сезони</t>
        </is>
      </c>
    </row>
    <row r="19" ht="22" customHeight="1">
      <c r="A19" s="8" t="inlineStr">
        <is>
          <t>Всього слотів</t>
        </is>
      </c>
      <c r="B19" s="15">
        <f>B16*B18</f>
        <v/>
      </c>
      <c r="C19" s="10" t="inlineStr">
        <is>
          <t>24×4 = 96</t>
        </is>
      </c>
    </row>
    <row r="20" ht="22" customHeight="1">
      <c r="A20" s="5" t="inlineStr">
        <is>
          <t>Власників (цільова кількість)</t>
        </is>
      </c>
      <c r="B20" s="12" t="n">
        <v>80</v>
      </c>
      <c r="C20" s="7" t="inlineStr">
        <is>
          <t>~$35k поріг</t>
        </is>
      </c>
    </row>
    <row r="21" ht="28" customHeight="1">
      <c r="A21" s="16" t="inlineStr">
        <is>
          <t>Вільних слотів для оренди</t>
        </is>
      </c>
      <c r="B21" s="17">
        <f>B19-B20</f>
        <v/>
      </c>
      <c r="C21" s="18">
        <f> готельний дохід</f>
        <v/>
      </c>
    </row>
    <row r="22" ht="32" customHeight="1">
      <c r="A22" s="13" t="inlineStr">
        <is>
          <t>ВХІДНИЙ ПОРІГ / ОСОБУ</t>
        </is>
      </c>
      <c r="B22" s="14">
        <f>B13/B20</f>
        <v/>
      </c>
      <c r="C22" s="10" t="inlineStr">
        <is>
          <t>Total IN ÷ 80</t>
        </is>
      </c>
    </row>
    <row r="23" ht="22" customHeight="1">
      <c r="A23" s="19" t="inlineStr">
        <is>
          <t>Частка власності кожного</t>
        </is>
      </c>
      <c r="B23" s="20">
        <f>1/B20</f>
        <v/>
      </c>
      <c r="C23" s="21" t="inlineStr">
        <is>
          <t>1.25% об'єкту ~$3.5М</t>
        </is>
      </c>
    </row>
    <row r="24">
      <c r="A24" s="4" t="n"/>
      <c r="B24" s="4" t="n"/>
      <c r="C24" s="4" t="n"/>
    </row>
    <row r="25" ht="26" customHeight="1">
      <c r="A25" s="3" t="inlineStr">
        <is>
          <t>В. ДОХОДИ ($/рік)</t>
        </is>
      </c>
      <c r="B25" s="4" t="n"/>
      <c r="C25" s="4" t="n"/>
    </row>
    <row r="26" ht="22" customHeight="1">
      <c r="A26" s="5" t="inlineStr">
        <is>
          <t>Ставка за ніч ($)</t>
        </is>
      </c>
      <c r="B26" s="6" t="n">
        <v>150</v>
      </c>
      <c r="C26" s="7" t="inlineStr">
        <is>
          <t>Boutique, Teatro Colón</t>
        </is>
      </c>
    </row>
    <row r="27" ht="22" customHeight="1">
      <c r="A27" s="5" t="inlineStr">
        <is>
          <t>Заповнюваність вільних слотів (%)</t>
        </is>
      </c>
      <c r="B27" s="11" t="n">
        <v>0.72</v>
      </c>
      <c r="C27" s="7" t="inlineStr">
        <is>
          <t>72% реалістично BA</t>
        </is>
      </c>
    </row>
    <row r="28" ht="22" customHeight="1">
      <c r="A28" s="8" t="inlineStr">
        <is>
          <t>Ночей / вільний слот</t>
        </is>
      </c>
      <c r="B28" s="15">
        <f>B17*30</f>
        <v/>
      </c>
      <c r="C28" s="10" t="inlineStr">
        <is>
          <t>90 = 3 міс × 30</t>
        </is>
      </c>
    </row>
    <row r="29" ht="22" customHeight="1">
      <c r="A29" s="19" t="inlineStr">
        <is>
          <t>Готельний дохід (рік)</t>
        </is>
      </c>
      <c r="B29" s="22">
        <f>B21*B28*B26*B27</f>
        <v/>
      </c>
      <c r="C29" s="21" t="inlineStr">
        <is>
          <t>16×90×$150×72%</t>
        </is>
      </c>
    </row>
    <row r="30" ht="22" customHeight="1">
      <c r="A30" s="5" t="inlineStr">
        <is>
          <t>Оренда 1-го пов. ($/міс)</t>
        </is>
      </c>
      <c r="B30" s="6" t="n">
        <v>15000</v>
      </c>
      <c r="C30" s="7" t="inlineStr">
        <is>
          <t>Кафе/коворкінг</t>
        </is>
      </c>
    </row>
    <row r="31" ht="22" customHeight="1">
      <c r="A31" s="19" t="inlineStr">
        <is>
          <t>Комерційний дохід (рік)</t>
        </is>
      </c>
      <c r="B31" s="22">
        <f>B30*12</f>
        <v/>
      </c>
      <c r="C31" s="4" t="n"/>
    </row>
    <row r="32" ht="28" customHeight="1">
      <c r="A32" s="23" t="inlineStr">
        <is>
          <t>TOTAL дохід (рік)</t>
        </is>
      </c>
      <c r="B32" s="24">
        <f>B29+B31</f>
        <v/>
      </c>
      <c r="C32" s="4" t="n"/>
    </row>
    <row r="33">
      <c r="A33" s="4" t="n"/>
      <c r="B33" s="4" t="n"/>
      <c r="C33" s="4" t="n"/>
    </row>
    <row r="34" ht="26" customHeight="1">
      <c r="A34" s="3" t="inlineStr">
        <is>
          <t>Г. ОПЕРАЦІЙНІ ВИТРАТИ ($/рік)</t>
        </is>
      </c>
      <c r="B34" s="4" t="n"/>
      <c r="C34" s="4" t="n"/>
    </row>
    <row r="35" ht="22" customHeight="1">
      <c r="A35" s="5" t="inlineStr">
        <is>
          <t>Персонал</t>
        </is>
      </c>
      <c r="B35" s="6" t="n">
        <v>85000</v>
      </c>
      <c r="C35" s="7" t="inlineStr">
        <is>
          <t>~7 ставок BA</t>
        </is>
      </c>
    </row>
    <row r="36" ht="22" customHeight="1">
      <c r="A36" s="5" t="inlineStr">
        <is>
          <t>Комунальні + обслуговування</t>
        </is>
      </c>
      <c r="B36" s="6" t="n">
        <v>38000</v>
      </c>
      <c r="C36" s="4" t="n"/>
    </row>
    <row r="37" ht="22" customHeight="1">
      <c r="A37" s="5" t="inlineStr">
        <is>
          <t>Страхування + юридика + бухгалтерія</t>
        </is>
      </c>
      <c r="B37" s="6" t="n">
        <v>18000</v>
      </c>
      <c r="C37" s="4" t="n"/>
    </row>
    <row r="38" ht="22" customHeight="1">
      <c r="A38" s="5" t="inlineStr">
        <is>
          <t>OTA + маркетинг (%)</t>
        </is>
      </c>
      <c r="B38" s="11" t="n">
        <v>0.12</v>
      </c>
      <c r="C38" s="7" t="inlineStr">
        <is>
          <t>12% готельного доходу</t>
        </is>
      </c>
    </row>
    <row r="39" ht="22" customHeight="1">
      <c r="A39" s="5" t="inlineStr">
        <is>
          <t>Management fee Nomad Club (%)</t>
        </is>
      </c>
      <c r="B39" s="11" t="n">
        <v>0.05</v>
      </c>
      <c r="C39" s="7" t="inlineStr">
        <is>
          <t>5% загального доходу</t>
        </is>
      </c>
    </row>
    <row r="40" ht="22" customHeight="1">
      <c r="A40" s="19" t="inlineStr">
        <is>
          <t>TOTAL opex (рік)</t>
        </is>
      </c>
      <c r="B40" s="22">
        <f>B35+B36+B37+B29*B38+B32*B39</f>
        <v/>
      </c>
      <c r="C40" s="4" t="n"/>
    </row>
    <row r="41" ht="32" customHeight="1">
      <c r="A41" s="13" t="inlineStr">
        <is>
          <t>NOI — чистий операційний дохід</t>
        </is>
      </c>
      <c r="B41" s="14">
        <f>B32-B40</f>
        <v/>
      </c>
      <c r="C41" s="4" t="n"/>
    </row>
    <row r="42">
      <c r="A42" s="4" t="n"/>
      <c r="B42" s="4" t="n"/>
      <c r="C42" s="4" t="n"/>
    </row>
    <row r="43" ht="26" customHeight="1">
      <c r="A43" s="3" t="inlineStr">
        <is>
          <t>Д. КЛУБНИЙ ВНЕСОК — ОПЕРАЦІЙНИЙ БУФЕР</t>
        </is>
      </c>
      <c r="B43" s="4" t="n"/>
      <c r="C43" s="4" t="n"/>
    </row>
    <row r="44" ht="22" customHeight="1">
      <c r="A44" s="5" t="inlineStr">
        <is>
          <t>Клубний внесок / особу / міс ($)</t>
        </is>
      </c>
      <c r="B44" s="6" t="n">
        <v>100</v>
      </c>
      <c r="C44" s="7" t="inlineStr">
        <is>
          <t>$100×80×12 = $96k/рік</t>
        </is>
      </c>
    </row>
    <row r="45" ht="22" customHeight="1">
      <c r="A45" s="8" t="inlineStr">
        <is>
          <t>Клубний дохід (рік)</t>
        </is>
      </c>
      <c r="B45" s="25">
        <f>B44*B20*12</f>
        <v/>
      </c>
      <c r="C45" s="10" t="inlineStr">
        <is>
          <t>Покриває ~$96k opex</t>
        </is>
      </c>
    </row>
    <row r="46" ht="28" customHeight="1">
      <c r="A46" s="23" t="inlineStr">
        <is>
          <t>Кешфлоу (NOI + клуб)</t>
        </is>
      </c>
      <c r="B46" s="24">
        <f>B41+B45</f>
        <v/>
      </c>
      <c r="C46" s="4" t="n"/>
    </row>
    <row r="47">
      <c r="A47" s="4" t="n"/>
      <c r="B47" s="4" t="n"/>
      <c r="C47" s="4" t="n"/>
    </row>
    <row r="48" ht="26" customHeight="1">
      <c r="A48" s="3" t="inlineStr">
        <is>
          <t>Е. ВИГОДА ДЛЯ ОДНОГО ВЛАСНИКА ($/рік)</t>
        </is>
      </c>
      <c r="B48" s="4" t="n"/>
      <c r="C48" s="4" t="n"/>
    </row>
    <row r="49" ht="24" customHeight="1">
      <c r="A49" s="26" t="inlineStr">
        <is>
          <t>Показник</t>
        </is>
      </c>
      <c r="B49" s="26" t="inlineStr">
        <is>
          <t>Значення</t>
        </is>
      </c>
      <c r="C49" s="26" t="inlineStr">
        <is>
          <t>Деталь</t>
        </is>
      </c>
    </row>
    <row r="50" ht="22" customHeight="1">
      <c r="A50" s="27" t="inlineStr">
        <is>
          <t>Вхідний внесок (one-time)</t>
        </is>
      </c>
      <c r="B50" s="28">
        <f>B22</f>
        <v/>
      </c>
      <c r="C50" s="4" t="n"/>
    </row>
    <row r="51" ht="22" customHeight="1">
      <c r="A51" s="29" t="inlineStr">
        <is>
          <t>Частка власності</t>
        </is>
      </c>
      <c r="B51" s="30">
        <f>B23</f>
        <v/>
      </c>
      <c r="C51" s="4" t="n"/>
    </row>
    <row r="52" ht="22" customHeight="1">
      <c r="A52" s="19" t="inlineStr">
        <is>
          <t>Право проживання (ночей/рік)</t>
        </is>
      </c>
      <c r="B52" s="31">
        <f>B28</f>
        <v/>
      </c>
      <c r="C52" s="4" t="n"/>
    </row>
    <row r="53" ht="22" customHeight="1">
      <c r="A53" s="16" t="inlineStr">
        <is>
          <t>Ринкова цінність 90 ночей</t>
        </is>
      </c>
      <c r="B53" s="32">
        <f>B28*B26</f>
        <v/>
      </c>
      <c r="C53" s="4" t="n"/>
    </row>
    <row r="54" ht="22" customHeight="1">
      <c r="A54" s="23" t="inlineStr">
        <is>
          <t>Пасивний дохід на особу</t>
        </is>
      </c>
      <c r="B54" s="24">
        <f>B41/B20</f>
        <v/>
      </c>
      <c r="C54" s="4" t="n"/>
    </row>
    <row r="55" ht="22" customHeight="1">
      <c r="A55" s="33" t="inlineStr">
        <is>
          <t>Клубний внесок (рік)</t>
        </is>
      </c>
      <c r="B55" s="34">
        <f>-(B44*12)</f>
        <v/>
      </c>
      <c r="C55" s="4" t="n"/>
    </row>
    <row r="56" ht="30" customHeight="1">
      <c r="A56" s="13" t="inlineStr">
        <is>
          <t>ЗАГАЛЬНА РІЧНА ВИГОДА</t>
        </is>
      </c>
      <c r="B56" s="14">
        <f>B28*B26+B41/B20-B44*12</f>
        <v/>
      </c>
      <c r="C56" s="4" t="n"/>
    </row>
    <row r="57" ht="22" customHeight="1">
      <c r="A57" s="19" t="inlineStr">
        <is>
          <t>Payback (роки)</t>
        </is>
      </c>
      <c r="B57" s="35">
        <f>B22/(B28*B26+B41/B20)</f>
        <v/>
      </c>
      <c r="C57" s="4" t="n"/>
    </row>
    <row r="58" ht="22" customHeight="1">
      <c r="A58" s="23" t="inlineStr">
        <is>
          <t>Effective ROI</t>
        </is>
      </c>
      <c r="B58" s="36">
        <f>(B28*B26+B41/B20-B44*12)/B22</f>
        <v/>
      </c>
      <c r="C58" s="4" t="n"/>
    </row>
  </sheetData>
  <mergeCells count="8">
    <mergeCell ref="A25:C25"/>
    <mergeCell ref="A1:C1"/>
    <mergeCell ref="A34:C34"/>
    <mergeCell ref="A15:C15"/>
    <mergeCell ref="A4:C4"/>
    <mergeCell ref="A48:C48"/>
    <mergeCell ref="A43:C4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 ht="34" customHeight="1">
      <c r="A1" s="37" t="inlineStr">
        <is>
          <t>АНАЛІЗ СЦЕНАРІЇВ — чутливість моделі</t>
        </is>
      </c>
    </row>
    <row r="3" ht="24" customHeight="1">
      <c r="A3" s="38" t="inlineStr">
        <is>
          <t>Таблиця 1: Поріг входу при різній кількості власників</t>
        </is>
      </c>
    </row>
    <row r="4" ht="24" customHeight="1">
      <c r="A4" s="26" t="inlineStr">
        <is>
          <t>Власників</t>
        </is>
      </c>
      <c r="B4" s="26" t="inlineStr">
        <is>
          <t>Поріг ($)</t>
        </is>
      </c>
      <c r="C4" s="26" t="inlineStr">
        <is>
          <t>Тип пулу</t>
        </is>
      </c>
      <c r="D4" s="26" t="inlineStr">
        <is>
          <t>Вигода/рік</t>
        </is>
      </c>
      <c r="E4" s="26" t="inlineStr">
        <is>
          <t>Payback</t>
        </is>
      </c>
      <c r="F4" s="26" t="inlineStr">
        <is>
          <t>Оцінка</t>
        </is>
      </c>
    </row>
    <row r="5" ht="22" customHeight="1">
      <c r="A5" s="39" t="inlineStr">
        <is>
          <t>20</t>
        </is>
      </c>
      <c r="B5" s="39" t="inlineStr">
        <is>
          <t>$142,000</t>
        </is>
      </c>
      <c r="C5" s="39" t="inlineStr">
        <is>
          <t>Мала група</t>
        </is>
      </c>
      <c r="D5" s="39" t="inlineStr">
        <is>
          <t>$20,550</t>
        </is>
      </c>
      <c r="E5" s="39" t="inlineStr">
        <is>
          <t>6.9р</t>
        </is>
      </c>
      <c r="F5" s="39" t="inlineStr">
        <is>
          <t>⚠️ мало учасників</t>
        </is>
      </c>
    </row>
    <row r="6" ht="22" customHeight="1">
      <c r="A6" s="40" t="inlineStr">
        <is>
          <t>30</t>
        </is>
      </c>
      <c r="B6" s="40" t="inlineStr">
        <is>
          <t>$94,667</t>
        </is>
      </c>
      <c r="C6" s="40" t="inlineStr">
        <is>
          <t>Мала</t>
        </is>
      </c>
      <c r="D6" s="40" t="inlineStr">
        <is>
          <t>$17,800</t>
        </is>
      </c>
      <c r="E6" s="40" t="inlineStr">
        <is>
          <t>5.3р</t>
        </is>
      </c>
      <c r="F6" s="40" t="inlineStr">
        <is>
          <t>—</t>
        </is>
      </c>
    </row>
    <row r="7" ht="22" customHeight="1">
      <c r="A7" s="40" t="inlineStr">
        <is>
          <t>40</t>
        </is>
      </c>
      <c r="B7" s="40" t="inlineStr">
        <is>
          <t>$71,000</t>
        </is>
      </c>
      <c r="C7" s="40" t="inlineStr">
        <is>
          <t>Середня</t>
        </is>
      </c>
      <c r="D7" s="40" t="inlineStr">
        <is>
          <t>$16,425</t>
        </is>
      </c>
      <c r="E7" s="40" t="inlineStr">
        <is>
          <t>4.3р</t>
        </is>
      </c>
      <c r="F7" s="40" t="inlineStr">
        <is>
          <t>—</t>
        </is>
      </c>
    </row>
    <row r="8" ht="22" customHeight="1">
      <c r="A8" s="41" t="inlineStr">
        <is>
          <t>60</t>
        </is>
      </c>
      <c r="B8" s="42" t="inlineStr">
        <is>
          <t>$47,333</t>
        </is>
      </c>
      <c r="C8" s="42" t="inlineStr">
        <is>
          <t>Оптимум</t>
        </is>
      </c>
      <c r="D8" s="42" t="inlineStr">
        <is>
          <t>$15,050</t>
        </is>
      </c>
      <c r="E8" s="42" t="inlineStr">
        <is>
          <t>3.1р</t>
        </is>
      </c>
      <c r="F8" s="42" t="inlineStr">
        <is>
          <t>✅ рекомендовано</t>
        </is>
      </c>
    </row>
    <row r="9" ht="22" customHeight="1">
      <c r="A9" s="41" t="inlineStr">
        <is>
          <t>80</t>
        </is>
      </c>
      <c r="B9" s="42" t="inlineStr">
        <is>
          <t>$35,500</t>
        </is>
      </c>
      <c r="C9" s="42" t="inlineStr">
        <is>
          <t>Оптимум+</t>
        </is>
      </c>
      <c r="D9" s="42" t="inlineStr">
        <is>
          <t>$14,362</t>
        </is>
      </c>
      <c r="E9" s="42" t="inlineStr">
        <is>
          <t>2.5р</t>
        </is>
      </c>
      <c r="F9" s="42" t="inlineStr">
        <is>
          <t>✅ рекомендовано</t>
        </is>
      </c>
    </row>
    <row r="10" ht="22" customHeight="1">
      <c r="A10" s="41" t="inlineStr">
        <is>
          <t>100</t>
        </is>
      </c>
      <c r="B10" s="42" t="inlineStr">
        <is>
          <t>$28,400</t>
        </is>
      </c>
      <c r="C10" s="42" t="inlineStr">
        <is>
          <t>Широка</t>
        </is>
      </c>
      <c r="D10" s="42" t="inlineStr">
        <is>
          <t>$13,950</t>
        </is>
      </c>
      <c r="E10" s="42" t="inlineStr">
        <is>
          <t>2.0р</t>
        </is>
      </c>
      <c r="F10" s="42" t="inlineStr">
        <is>
          <t>✅ рекомендовано</t>
        </is>
      </c>
    </row>
    <row r="11" ht="22" customHeight="1">
      <c r="A11" s="43" t="inlineStr">
        <is>
          <t>120</t>
        </is>
      </c>
      <c r="B11" s="43" t="inlineStr">
        <is>
          <t>$23,667</t>
        </is>
      </c>
      <c r="C11" s="43" t="inlineStr">
        <is>
          <t>Надширока</t>
        </is>
      </c>
      <c r="D11" s="43" t="inlineStr">
        <is>
          <t>$13,675</t>
        </is>
      </c>
      <c r="E11" s="43" t="inlineStr">
        <is>
          <t>1.7р</t>
        </is>
      </c>
      <c r="F11" s="43" t="inlineStr">
        <is>
          <t>—</t>
        </is>
      </c>
    </row>
    <row r="12">
      <c r="A12" s="4" t="n"/>
      <c r="B12" s="4" t="n"/>
      <c r="C12" s="4" t="n"/>
      <c r="D12" s="4" t="n"/>
      <c r="E12" s="4" t="n"/>
      <c r="F12" s="4" t="n"/>
    </row>
    <row r="13" ht="18" customHeight="1">
      <c r="A13" s="44" t="inlineStr">
        <is>
          <t>* Вигода = $13,500 (90 ночей) + пасивний дохід − $1,200 клубний внесок/рік</t>
        </is>
      </c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 ht="24" customHeight="1">
      <c r="A15" s="45" t="inlineStr">
        <is>
          <t>Таблиця 2: Чутливість до ставки за ніч (80 власників, 16 вільних слотів)</t>
        </is>
      </c>
      <c r="B15" s="4" t="n"/>
      <c r="C15" s="4" t="n"/>
      <c r="D15" s="4" t="n"/>
      <c r="E15" s="4" t="n"/>
      <c r="F15" s="4" t="n"/>
    </row>
    <row r="16" ht="24" customHeight="1">
      <c r="A16" s="26" t="inlineStr">
        <is>
          <t>Ставка/ніч</t>
        </is>
      </c>
      <c r="B16" s="26" t="inlineStr">
        <is>
          <t>Готел. дохід</t>
        </is>
      </c>
      <c r="C16" s="26" t="inlineStr">
        <is>
          <t>NOI</t>
        </is>
      </c>
      <c r="D16" s="26" t="inlineStr">
        <is>
          <t>Дохід/особу</t>
        </is>
      </c>
      <c r="E16" s="26" t="inlineStr">
        <is>
          <t>Payback</t>
        </is>
      </c>
      <c r="F16" s="26" t="inlineStr">
        <is>
          <t>Вигода/особу</t>
        </is>
      </c>
    </row>
    <row r="17" ht="22" customHeight="1">
      <c r="A17" s="39" t="inlineStr">
        <is>
          <t>$80</t>
        </is>
      </c>
      <c r="B17" s="39" t="inlineStr">
        <is>
          <t>$82,944</t>
        </is>
      </c>
      <c r="C17" s="39" t="inlineStr">
        <is>
          <t>$98,844</t>
        </is>
      </c>
      <c r="D17" s="39" t="inlineStr">
        <is>
          <t>$1,236</t>
        </is>
      </c>
      <c r="E17" s="39" t="inlineStr">
        <is>
          <t>4.9р</t>
        </is>
      </c>
      <c r="F17" s="39" t="inlineStr">
        <is>
          <t>$7,236</t>
        </is>
      </c>
    </row>
    <row r="18" ht="22" customHeight="1">
      <c r="A18" s="40" t="inlineStr">
        <is>
          <t>$100</t>
        </is>
      </c>
      <c r="B18" s="40" t="inlineStr">
        <is>
          <t>$103,680</t>
        </is>
      </c>
      <c r="C18" s="40" t="inlineStr">
        <is>
          <t>$116,054</t>
        </is>
      </c>
      <c r="D18" s="40" t="inlineStr">
        <is>
          <t>$1,451</t>
        </is>
      </c>
      <c r="E18" s="40" t="inlineStr">
        <is>
          <t>3.8р</t>
        </is>
      </c>
      <c r="F18" s="40" t="inlineStr">
        <is>
          <t>$9,251</t>
        </is>
      </c>
    </row>
    <row r="19" ht="22" customHeight="1">
      <c r="A19" s="40" t="inlineStr">
        <is>
          <t>$120</t>
        </is>
      </c>
      <c r="B19" s="40" t="inlineStr">
        <is>
          <t>$124,416</t>
        </is>
      </c>
      <c r="C19" s="40" t="inlineStr">
        <is>
          <t>$133,265</t>
        </is>
      </c>
      <c r="D19" s="40" t="inlineStr">
        <is>
          <t>$1,666</t>
        </is>
      </c>
      <c r="E19" s="40" t="inlineStr">
        <is>
          <t>3.2р</t>
        </is>
      </c>
      <c r="F19" s="40" t="inlineStr">
        <is>
          <t>$11,266</t>
        </is>
      </c>
    </row>
    <row r="20" ht="22" customHeight="1">
      <c r="A20" s="41" t="inlineStr">
        <is>
          <t>$150</t>
        </is>
      </c>
      <c r="B20" s="41" t="inlineStr">
        <is>
          <t>$155,520</t>
        </is>
      </c>
      <c r="C20" s="41" t="inlineStr">
        <is>
          <t>$159,082</t>
        </is>
      </c>
      <c r="D20" s="41" t="inlineStr">
        <is>
          <t>$1,989</t>
        </is>
      </c>
      <c r="E20" s="41" t="inlineStr">
        <is>
          <t>2.5р</t>
        </is>
      </c>
      <c r="F20" s="41" t="inlineStr">
        <is>
          <t>$14,289</t>
        </is>
      </c>
    </row>
    <row r="21" ht="22" customHeight="1">
      <c r="A21" s="41" t="inlineStr">
        <is>
          <t>$180</t>
        </is>
      </c>
      <c r="B21" s="41" t="inlineStr">
        <is>
          <t>$186,624</t>
        </is>
      </c>
      <c r="C21" s="41" t="inlineStr">
        <is>
          <t>$184,898</t>
        </is>
      </c>
      <c r="D21" s="41" t="inlineStr">
        <is>
          <t>$2,311</t>
        </is>
      </c>
      <c r="E21" s="41" t="inlineStr">
        <is>
          <t>2.1р</t>
        </is>
      </c>
      <c r="F21" s="41" t="inlineStr">
        <is>
          <t>$17,311</t>
        </is>
      </c>
    </row>
    <row r="22" ht="22" customHeight="1">
      <c r="A22" s="43" t="inlineStr">
        <is>
          <t>$200</t>
        </is>
      </c>
      <c r="B22" s="43" t="inlineStr">
        <is>
          <t>$207,360</t>
        </is>
      </c>
      <c r="C22" s="43" t="inlineStr">
        <is>
          <t>$202,109</t>
        </is>
      </c>
      <c r="D22" s="43" t="inlineStr">
        <is>
          <t>$2,526</t>
        </is>
      </c>
      <c r="E22" s="43" t="inlineStr">
        <is>
          <t>1.8р</t>
        </is>
      </c>
      <c r="F22" s="43" t="inlineStr">
        <is>
          <t>$19,326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</cols>
  <sheetData>
    <row r="1" ht="34" customHeight="1">
      <c r="A1" s="37" t="inlineStr">
        <is>
          <t>РИЗИКИ, ПРИПУЩЕННЯ ТА ПЛАН ДІЙ</t>
        </is>
      </c>
    </row>
    <row r="3" ht="26" customHeight="1">
      <c r="A3" s="3" t="inlineStr">
        <is>
          <t>КРИТИЧНІ — ПЕРЕВІРИТИ ДО БУДЬ-ЯКИХ ДІЙ</t>
        </is>
      </c>
      <c r="B3" s="4" t="n"/>
    </row>
    <row r="4" ht="38" customHeight="1">
      <c r="A4" s="33" t="inlineStr">
        <is>
          <t>Кафе 1-й поверх — статус?</t>
        </is>
      </c>
      <c r="B4" s="46" t="inlineStr">
        <is>
          <t>Якщо входить у ціну: +$180k/рік з Дня 1. Питати Patricia Hernandez REMAX</t>
        </is>
      </c>
    </row>
    <row r="5" ht="38" customHeight="1">
      <c r="A5" s="33" t="inlineStr">
        <is>
          <t>Зонування C2 → hospitality дозвіл</t>
        </is>
      </c>
      <c r="B5" s="46" t="inlineStr">
        <is>
          <t>БЕЗ ЦЬОГО — не можна легально здавати. GCBA 12-18 міс + $30-50k</t>
        </is>
      </c>
    </row>
    <row r="6" ht="38" customHeight="1">
      <c r="A6" s="33" t="inlineStr">
        <is>
          <t>Технічний стан 81-річної будівлі</t>
        </is>
      </c>
      <c r="B6" s="46" t="inlineStr">
        <is>
          <t>Потрібна інспекція. Ризик +$200-400k до кошторису реновації</t>
        </is>
      </c>
    </row>
    <row r="7" ht="38" customHeight="1">
      <c r="A7" s="16" t="inlineStr">
        <is>
          <t>Аргентинська інфляція ARS</t>
        </is>
      </c>
      <c r="B7" s="47" t="inlineStr">
        <is>
          <t>Захист: ставки оренди в USD (стандарт BA). Opex частково в ARS = хедж</t>
        </is>
      </c>
    </row>
    <row r="8" ht="26" customHeight="1">
      <c r="A8" s="3" t="inlineStr">
        <is>
          <t>ФІНАНСОВІ ПРИПУЩЕННЯ</t>
        </is>
      </c>
      <c r="B8" s="4" t="n"/>
    </row>
    <row r="9" ht="38" customHeight="1">
      <c r="A9" s="27" t="inlineStr">
        <is>
          <t>Total IN = $2.84M</t>
        </is>
      </c>
      <c r="B9" s="48" t="inlineStr">
        <is>
          <t>Придбання $1.39M + legal $40k + реновація $1.05M × $1k × 1.15 буфер</t>
        </is>
      </c>
    </row>
    <row r="10" ht="38" customHeight="1">
      <c r="A10" s="16" t="inlineStr">
        <is>
          <t>NOI оцінка ~$165k/рік</t>
        </is>
      </c>
      <c r="B10" s="47" t="inlineStr">
        <is>
          <t>Готельний $156k + комерція $180k − opex ~$171k. Чутливий до заповнюваності</t>
        </is>
      </c>
    </row>
    <row r="11" ht="38" customHeight="1">
      <c r="A11" s="16" t="inlineStr">
        <is>
          <t>Ставка $150/ніч</t>
        </is>
      </c>
      <c r="B11" s="47" t="inlineStr">
        <is>
          <t>Верифікувати Booking/Airbnb: аналоги в San Nicolás навколо Teatro Colón</t>
        </is>
      </c>
    </row>
    <row r="12" ht="38" customHeight="1">
      <c r="A12" s="23" t="inlineStr">
        <is>
          <t>80 власників → ~$35k поріг</t>
        </is>
      </c>
      <c r="B12" s="49" t="inlineStr">
        <is>
          <t>При 60 → $47k / при 100 → $28k. Оптимум: 60-100</t>
        </is>
      </c>
    </row>
    <row r="13" ht="26" customHeight="1">
      <c r="A13" s="3" t="inlineStr">
        <is>
          <t>ПЛАН ДІЙ — ТИЖДЕНЬ ЗА ТИЖНЕМ</t>
        </is>
      </c>
      <c r="B13" s="4" t="n"/>
    </row>
    <row r="14" ht="38" customHeight="1">
      <c r="A14" s="50" t="inlineStr">
        <is>
          <t>Тиждень 1: Лист Patricia Hernandez REMAX</t>
        </is>
      </c>
      <c r="B14" s="51" t="inlineStr">
        <is>
          <t>3 питання: 1) кафе орендар/власник? 2) зонування? 3) технічна документація?</t>
        </is>
      </c>
    </row>
    <row r="15" ht="38" customHeight="1">
      <c r="A15" s="50" t="inlineStr">
        <is>
          <t>Тиждень 1-2: Аргентинський юрист</t>
        </is>
      </c>
      <c r="B15" s="51" t="inlineStr">
        <is>
          <t>SPV структура для іноземних власників. Бюджет $300-500</t>
        </is>
      </c>
    </row>
    <row r="16" ht="38" customHeight="1">
      <c r="A16" s="50" t="inlineStr">
        <is>
          <t>Тиждень 2-3: Тест пулу в UA nomad чатах</t>
        </is>
      </c>
      <c r="B16" s="51" t="inlineStr">
        <is>
          <t>Пропозиція: '$35k за 1/4 boutique hotel Teatro Colón BA'. Ціль: 15+ email за 72 год</t>
        </is>
      </c>
    </row>
    <row r="17" ht="38" customHeight="1">
      <c r="A17" s="50" t="inlineStr">
        <is>
          <t>Тиждень 3-4: Технічна інспекція</t>
        </is>
      </c>
      <c r="B17" s="51" t="inlineStr">
        <is>
          <t>Партнер в BA організовує огляд. Підтвердити кошторис реновації</t>
        </is>
      </c>
    </row>
    <row r="18" ht="38" customHeight="1">
      <c r="A18" s="23" t="inlineStr">
        <is>
          <t>Тиждень 4+: Відкрити LOI якщо все OK</t>
        </is>
      </c>
      <c r="B18" s="49" t="inlineStr">
        <is>
          <t>Letter of Intent + резерваційний внесок $2,000 (поверненний) для перших 15-20</t>
        </is>
      </c>
    </row>
  </sheetData>
  <mergeCells count="4">
    <mergeCell ref="A8:B8"/>
    <mergeCell ref="A3:B3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2026-03-19T10:13:46Z</dcterms:created>
  <dcterms:modified xmlns:dcterms="http://purl.org/dc/terms/" xmlns:xsi="http://www.w3.org/2001/XMLSchema-instance" xsi:type="dcterms:W3CDTF">2026-03-19T10:13:46Z</dcterms:modified>
</cp:coreProperties>
</file>